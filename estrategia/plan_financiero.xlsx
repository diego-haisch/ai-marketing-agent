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plychaines-my.sharepoint.com/personal/diego_haisch_applychain_es/Documents/ApplyChain/00-Admin/04-Finanzas/06-Planificación financiera/"/>
    </mc:Choice>
  </mc:AlternateContent>
  <xr:revisionPtr revIDLastSave="466" documentId="8_{CBBB097A-FC74-4AFB-8214-E015F60D688F}" xr6:coauthVersionLast="47" xr6:coauthVersionMax="47" xr10:uidLastSave="{DA9FB5A8-BFCD-42E4-ABC0-5A84BCFAE4A1}"/>
  <bookViews>
    <workbookView xWindow="-120" yWindow="-120" windowWidth="29040" windowHeight="15720" firstSheet="2" activeTab="3" xr2:uid="{0BFC06B5-5E29-4BDF-A7B7-27A3941B25B9}"/>
  </bookViews>
  <sheets>
    <sheet name="Hoja3" sheetId="4" state="hidden" r:id="rId1"/>
    <sheet name="Hoja1" sheetId="5" state="hidden" r:id="rId2"/>
    <sheet name="Plan_financiero" sheetId="3" r:id="rId3"/>
    <sheet name="data" sheetId="1" r:id="rId4"/>
  </sheets>
  <definedNames>
    <definedName name="SegmentaciónDeDatos_Año">#N/A</definedName>
    <definedName name="SegmentaciónDeDatos_Concepto">#N/A</definedName>
  </definedNames>
  <calcPr calcId="191029"/>
  <pivotCaches>
    <pivotCache cacheId="0" r:id="rId5"/>
    <pivotCache cacheId="478" r:id="rId6"/>
    <pivotCache cacheId="481" r:id="rId7"/>
    <pivotCache cacheId="484" r:id="rId8"/>
    <pivotCache cacheId="487" r:id="rId9"/>
    <pivotCache cacheId="490" r:id="rId10"/>
    <pivotCache cacheId="493" r:id="rId11"/>
    <pivotCache cacheId="496" r:id="rId12"/>
    <pivotCache cacheId="499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_time_cb7094b9-f595-4a54-a601-1adcade4d9a7" name="A_time" connection="Consulta - A_time"/>
          <x15:modelTable id="Plan_financiero_be87f854-67e1-4b67-a835-b0dd52ff89b2" name="Plan_financiero" connection="Consulta - Plan_financiero"/>
        </x15:modelTables>
        <x15:modelRelationships>
          <x15:modelRelationship fromTable="Plan_financiero" fromColumn="Fecha" toTable="A_tim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0" i="1" l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AZ28" i="1"/>
  <c r="AY28" i="1"/>
  <c r="AX28" i="1"/>
  <c r="AW28" i="1"/>
  <c r="AV28" i="1"/>
  <c r="AU28" i="1"/>
  <c r="AT28" i="1"/>
  <c r="AS28" i="1"/>
  <c r="AR28" i="1"/>
  <c r="AQ28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Z12" i="1"/>
  <c r="AZ25" i="1" s="1"/>
  <c r="AY12" i="1"/>
  <c r="AY25" i="1" s="1"/>
  <c r="AX12" i="1"/>
  <c r="AX25" i="1" s="1"/>
  <c r="AW12" i="1"/>
  <c r="AW25" i="1" s="1"/>
  <c r="AV12" i="1"/>
  <c r="AV25" i="1" s="1"/>
  <c r="AU12" i="1"/>
  <c r="AU25" i="1" s="1"/>
  <c r="AT12" i="1"/>
  <c r="AT25" i="1" s="1"/>
  <c r="AS12" i="1"/>
  <c r="AS25" i="1" s="1"/>
  <c r="AR12" i="1"/>
  <c r="AR25" i="1" s="1"/>
  <c r="AQ12" i="1"/>
  <c r="AQ25" i="1" s="1"/>
  <c r="AP12" i="1"/>
  <c r="AP25" i="1" s="1"/>
  <c r="AO12" i="1"/>
  <c r="AO25" i="1" s="1"/>
  <c r="Q12" i="1"/>
  <c r="AB29" i="1" s="1"/>
  <c r="R12" i="1"/>
  <c r="S12" i="1"/>
  <c r="T12" i="1"/>
  <c r="T25" i="1" s="1"/>
  <c r="U12" i="1"/>
  <c r="U25" i="1" s="1"/>
  <c r="V12" i="1"/>
  <c r="V25" i="1" s="1"/>
  <c r="W12" i="1"/>
  <c r="W25" i="1" s="1"/>
  <c r="X12" i="1"/>
  <c r="X25" i="1" s="1"/>
  <c r="Y12" i="1"/>
  <c r="Y25" i="1" s="1"/>
  <c r="Z12" i="1"/>
  <c r="Z25" i="1" s="1"/>
  <c r="AA12" i="1"/>
  <c r="AA25" i="1" s="1"/>
  <c r="AB12" i="1"/>
  <c r="AB25" i="1" s="1"/>
  <c r="AC12" i="1"/>
  <c r="AC25" i="1" s="1"/>
  <c r="AD12" i="1"/>
  <c r="AD25" i="1" s="1"/>
  <c r="AE12" i="1"/>
  <c r="AE25" i="1" s="1"/>
  <c r="AF12" i="1"/>
  <c r="AF25" i="1" s="1"/>
  <c r="AG12" i="1"/>
  <c r="AG25" i="1" s="1"/>
  <c r="AH12" i="1"/>
  <c r="AH25" i="1" s="1"/>
  <c r="AI12" i="1"/>
  <c r="AI25" i="1" s="1"/>
  <c r="AJ12" i="1"/>
  <c r="AJ25" i="1" s="1"/>
  <c r="AJ31" i="1" s="1"/>
  <c r="AK12" i="1"/>
  <c r="AK25" i="1" s="1"/>
  <c r="AL12" i="1"/>
  <c r="AL25" i="1" s="1"/>
  <c r="AM12" i="1"/>
  <c r="AM25" i="1" s="1"/>
  <c r="AN12" i="1"/>
  <c r="AN25" i="1" s="1"/>
  <c r="P12" i="1"/>
  <c r="N1" i="1"/>
  <c r="AN28" i="1"/>
  <c r="AM28" i="1"/>
  <c r="AL28" i="1"/>
  <c r="AK28" i="1"/>
  <c r="AJ28" i="1"/>
  <c r="AI28" i="1"/>
  <c r="AH28" i="1"/>
  <c r="AG28" i="1"/>
  <c r="AF28" i="1"/>
  <c r="AE28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F16" i="4"/>
  <c r="F15" i="4"/>
  <c r="F14" i="4"/>
  <c r="E16" i="4"/>
  <c r="E15" i="4"/>
  <c r="E14" i="4"/>
  <c r="C8" i="4"/>
  <c r="C7" i="4"/>
  <c r="H8" i="4"/>
  <c r="E25" i="1"/>
  <c r="F25" i="1"/>
  <c r="AB28" i="1"/>
  <c r="AA28" i="1"/>
  <c r="Z28" i="1"/>
  <c r="Y28" i="1"/>
  <c r="X28" i="1"/>
  <c r="W28" i="1"/>
  <c r="V28" i="1"/>
  <c r="U28" i="1"/>
  <c r="T28" i="1"/>
  <c r="S28" i="1"/>
  <c r="AB22" i="1"/>
  <c r="AA22" i="1"/>
  <c r="Z22" i="1"/>
  <c r="Y22" i="1"/>
  <c r="X22" i="1"/>
  <c r="W22" i="1"/>
  <c r="V22" i="1"/>
  <c r="U22" i="1"/>
  <c r="T22" i="1"/>
  <c r="S22" i="1"/>
  <c r="R22" i="1"/>
  <c r="Q22" i="1"/>
  <c r="O31" i="1"/>
  <c r="M31" i="1"/>
  <c r="L31" i="1"/>
  <c r="J31" i="1"/>
  <c r="I31" i="1"/>
  <c r="G25" i="1"/>
  <c r="AL31" i="1" l="1"/>
  <c r="AK31" i="1"/>
  <c r="AS31" i="1"/>
  <c r="AH31" i="1"/>
  <c r="AV31" i="1"/>
  <c r="P29" i="1"/>
  <c r="AY31" i="1"/>
  <c r="AA31" i="1"/>
  <c r="AM31" i="1"/>
  <c r="AT31" i="1"/>
  <c r="AI31" i="1"/>
  <c r="AU31" i="1"/>
  <c r="AG31" i="1"/>
  <c r="AF31" i="1"/>
  <c r="AW31" i="1"/>
  <c r="AX31" i="1"/>
  <c r="AN29" i="1"/>
  <c r="AN31" i="1" s="1"/>
  <c r="AZ29" i="1"/>
  <c r="AZ31" i="1" s="1"/>
  <c r="AQ31" i="1"/>
  <c r="AR31" i="1"/>
  <c r="AP31" i="1"/>
  <c r="AE31" i="1"/>
  <c r="AD31" i="1"/>
  <c r="AO31" i="1"/>
  <c r="AC31" i="1"/>
  <c r="AB31" i="1"/>
  <c r="F31" i="1"/>
  <c r="G31" i="1"/>
  <c r="V31" i="1"/>
  <c r="Z31" i="1"/>
  <c r="Y31" i="1"/>
  <c r="W31" i="1"/>
  <c r="R31" i="1"/>
  <c r="S31" i="1"/>
  <c r="U31" i="1"/>
  <c r="X31" i="1"/>
  <c r="Q31" i="1"/>
  <c r="T31" i="1"/>
  <c r="E31" i="1"/>
  <c r="N31" i="1"/>
  <c r="H31" i="1"/>
  <c r="K31" i="1"/>
  <c r="P31" i="1"/>
  <c r="J33" i="1" l="1"/>
  <c r="K33" i="1"/>
  <c r="L33" i="1"/>
  <c r="M33" i="1"/>
  <c r="E33" i="1"/>
  <c r="G33" i="1"/>
  <c r="N33" i="1"/>
  <c r="F33" i="1"/>
  <c r="O33" i="1"/>
  <c r="H33" i="1"/>
  <c r="I33" i="1"/>
  <c r="AP33" i="1"/>
  <c r="U33" i="1"/>
  <c r="AH33" i="1"/>
  <c r="AF33" i="1"/>
  <c r="AE33" i="1"/>
  <c r="AW33" i="1"/>
  <c r="AI33" i="1"/>
  <c r="AG33" i="1"/>
  <c r="AT33" i="1"/>
  <c r="Q33" i="1"/>
  <c r="AD33" i="1"/>
  <c r="S33" i="1"/>
  <c r="AZ33" i="1"/>
  <c r="T33" i="1"/>
  <c r="AK33" i="1"/>
  <c r="AV33" i="1"/>
  <c r="V33" i="1"/>
  <c r="AU33" i="1"/>
  <c r="AJ33" i="1"/>
  <c r="AA33" i="1"/>
  <c r="W33" i="1"/>
  <c r="AQ33" i="1"/>
  <c r="AX33" i="1"/>
  <c r="R33" i="1"/>
  <c r="AC33" i="1"/>
  <c r="AM33" i="1"/>
  <c r="AO33" i="1"/>
  <c r="AS33" i="1"/>
  <c r="P33" i="1"/>
  <c r="Y33" i="1"/>
  <c r="AY33" i="1"/>
  <c r="AR33" i="1"/>
  <c r="Z33" i="1"/>
  <c r="X33" i="1"/>
  <c r="AL33" i="1"/>
  <c r="AB33" i="1"/>
  <c r="AN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tc={FC41F126-C547-42C2-926D-A96699358CD6}</author>
  </authors>
  <commentList>
    <comment ref="B22" authorId="0" shapeId="0" xr:uid="{FC41F126-C547-42C2-926D-A96699358C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Asana, bigquery, office, chat gpt, email, etc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B23B18-375C-4878-B0F7-39658B708D3D}" name="Consulta - A_time" description="Conexión a la consulta 'A_time' en el libro." type="100" refreshedVersion="8" minRefreshableVersion="5">
    <extLst>
      <ext xmlns:x15="http://schemas.microsoft.com/office/spreadsheetml/2010/11/main" uri="{DE250136-89BD-433C-8126-D09CA5730AF9}">
        <x15:connection id="151ec452-a15e-4eeb-bf1f-d27122052596"/>
      </ext>
    </extLst>
  </connection>
  <connection id="2" xr16:uid="{762E9EF8-4023-448A-B91D-57B99F86ABFB}" name="Consulta - Plan_financiero" description="Conexión a la consulta 'Plan_financiero' en el libro." type="100" refreshedVersion="8" minRefreshableVersion="5">
    <extLst>
      <ext xmlns:x15="http://schemas.microsoft.com/office/spreadsheetml/2010/11/main" uri="{DE250136-89BD-433C-8126-D09CA5730AF9}">
        <x15:connection id="c7c606c7-bd41-4a50-ab62-021f567d6316"/>
      </ext>
    </extLst>
  </connection>
  <connection id="3" xr16:uid="{73B9C6F5-B3E7-4A98-8926-64B6822A60D7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A_time].[Year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<sst xmlns="http://schemas.openxmlformats.org/spreadsheetml/2006/main" count="244" uniqueCount="120">
  <si>
    <t>€ Horas consultoría</t>
  </si>
  <si>
    <t>Paquetes implementación</t>
  </si>
  <si>
    <t>SaaS</t>
  </si>
  <si>
    <t>Concepto</t>
  </si>
  <si>
    <t>1-1-26</t>
  </si>
  <si>
    <t>1-2-26</t>
  </si>
  <si>
    <t>1-3-26</t>
  </si>
  <si>
    <t>1-4-26</t>
  </si>
  <si>
    <t>1-5-26</t>
  </si>
  <si>
    <t>1-6-26</t>
  </si>
  <si>
    <t>1-7-26</t>
  </si>
  <si>
    <t>1-8-26</t>
  </si>
  <si>
    <t>1-9-26</t>
  </si>
  <si>
    <t>1-10-26</t>
  </si>
  <si>
    <t>1-11-26</t>
  </si>
  <si>
    <t>1-12-26</t>
  </si>
  <si>
    <t>1-1-27</t>
  </si>
  <si>
    <t>1-2-27</t>
  </si>
  <si>
    <t>1-3-27</t>
  </si>
  <si>
    <t>1-4-27</t>
  </si>
  <si>
    <t>1-5-27</t>
  </si>
  <si>
    <t>1-6-27</t>
  </si>
  <si>
    <t>1-7-27</t>
  </si>
  <si>
    <t>1-8-27</t>
  </si>
  <si>
    <t>1-9-27</t>
  </si>
  <si>
    <t>1-10-27</t>
  </si>
  <si>
    <t>1-11-27</t>
  </si>
  <si>
    <t>1-12-27</t>
  </si>
  <si>
    <t>Etiquetas de fila</t>
  </si>
  <si>
    <t>Total general</t>
  </si>
  <si>
    <t>Suma de Valor</t>
  </si>
  <si>
    <t>Planes de formación</t>
  </si>
  <si>
    <t>Etiquetas de columna</t>
  </si>
  <si>
    <t>Área</t>
  </si>
  <si>
    <t>A-Proyección de ingresos</t>
  </si>
  <si>
    <t>B-Inversión inicial / CapEx</t>
  </si>
  <si>
    <t>Licencias software</t>
  </si>
  <si>
    <t>Ratios</t>
  </si>
  <si>
    <t>% de capacidad hrs consultoria</t>
  </si>
  <si>
    <t>precio hora €</t>
  </si>
  <si>
    <t>Web</t>
  </si>
  <si>
    <t>Programación Saas</t>
  </si>
  <si>
    <t>Formación</t>
  </si>
  <si>
    <t>coste por usuario licencias €</t>
  </si>
  <si>
    <t>C-Costes operativos / Opex</t>
  </si>
  <si>
    <t>Marketing</t>
  </si>
  <si>
    <t>% facturación mkt</t>
  </si>
  <si>
    <t>Gestoría</t>
  </si>
  <si>
    <t>nro empleados</t>
  </si>
  <si>
    <t>remuneración por socio</t>
  </si>
  <si>
    <t>Programación paquete servicio</t>
  </si>
  <si>
    <t>cash flow</t>
  </si>
  <si>
    <t>Alquiler coworking</t>
  </si>
  <si>
    <t>Nóminas</t>
  </si>
  <si>
    <t>Ordenadores y dispositivos oficina</t>
  </si>
  <si>
    <t>proyección de ingresos</t>
  </si>
  <si>
    <t>%Crecim interanual</t>
  </si>
  <si>
    <t>nro de socios a cobrar</t>
  </si>
  <si>
    <t>D-Otros costes operativos</t>
  </si>
  <si>
    <t>ebitda</t>
  </si>
  <si>
    <t>breakdown de area de ventas</t>
  </si>
  <si>
    <t>Proyección de ingresos</t>
  </si>
  <si>
    <t>Seguridad social autónomo</t>
  </si>
  <si>
    <t>(Todas)</t>
  </si>
  <si>
    <t>Total Suma de Valor</t>
  </si>
  <si>
    <t>Total Suma de Valor2</t>
  </si>
  <si>
    <t>Suma de Valor2</t>
  </si>
  <si>
    <t>Inversión Inicial</t>
  </si>
  <si>
    <t>Partida</t>
  </si>
  <si>
    <t>Facturación €</t>
  </si>
  <si>
    <t>Gastos Opex</t>
  </si>
  <si>
    <t>Ebitda €</t>
  </si>
  <si>
    <t>Ebitda %</t>
  </si>
  <si>
    <t>Resumen ejecutivo</t>
  </si>
  <si>
    <t>Costes Operativos</t>
  </si>
  <si>
    <t>Gastos Capex</t>
  </si>
  <si>
    <t>Acondicionamiento local coworking</t>
  </si>
  <si>
    <t>D-Gastos financieros e impuestos</t>
  </si>
  <si>
    <t>Impuesto de sociedades IS</t>
  </si>
  <si>
    <t>Impuestos</t>
  </si>
  <si>
    <t>Beneficio Neto €</t>
  </si>
  <si>
    <t>Cuenta de resultados</t>
  </si>
  <si>
    <t>Conformación sociedad</t>
  </si>
  <si>
    <t>IRPF (provisión)</t>
  </si>
  <si>
    <t>SaaS Barner</t>
  </si>
  <si>
    <t>Consultoría losan</t>
  </si>
  <si>
    <t>SaaS Bimani fase 2</t>
  </si>
  <si>
    <t>Year</t>
  </si>
  <si>
    <t>All</t>
  </si>
  <si>
    <t>Valores</t>
  </si>
  <si>
    <t>1-1-28</t>
  </si>
  <si>
    <t>1-2-28</t>
  </si>
  <si>
    <t>1-3-28</t>
  </si>
  <si>
    <t>1-4-28</t>
  </si>
  <si>
    <t>1-5-28</t>
  </si>
  <si>
    <t>1-6-28</t>
  </si>
  <si>
    <t>1-7-28</t>
  </si>
  <si>
    <t>1-8-28</t>
  </si>
  <si>
    <t>1-9-28</t>
  </si>
  <si>
    <t>1-10-28</t>
  </si>
  <si>
    <t>1-11-28</t>
  </si>
  <si>
    <t>1-12-28</t>
  </si>
  <si>
    <t>1-1-29</t>
  </si>
  <si>
    <t>1-2-29</t>
  </si>
  <si>
    <t>1-3-29</t>
  </si>
  <si>
    <t>1-4-29</t>
  </si>
  <si>
    <t>1-5-29</t>
  </si>
  <si>
    <t>1-6-29</t>
  </si>
  <si>
    <t>1-7-29</t>
  </si>
  <si>
    <t>1-8-29</t>
  </si>
  <si>
    <t>1-9-29</t>
  </si>
  <si>
    <t>1-10-29</t>
  </si>
  <si>
    <t>1-11-29</t>
  </si>
  <si>
    <t>1-12-29</t>
  </si>
  <si>
    <t>CashFlow operativo</t>
  </si>
  <si>
    <t>Columna1</t>
  </si>
  <si>
    <t>Servicio software</t>
  </si>
  <si>
    <t>Saas Bimani fase 1</t>
  </si>
  <si>
    <t>Consultoría</t>
  </si>
  <si>
    <t>Otro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</si>
</sst>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-m;@"/>
    <numFmt numFmtId="165" formatCode="d\-m\-yy;@"/>
    <numFmt numFmtId="166" formatCode="#,##0.0\ %;\-#,##0.0\ %;#,##0.0\ %"/>
    <numFmt numFmtId="169" formatCode="#,##0\ &quot;€&quot;;\-#,##0\ &quot;€&quot;;#,##0\ &quot;€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0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1" fillId="0" borderId="0" xfId="0" applyNumberFormat="1" applyFont="1"/>
    <xf numFmtId="10" fontId="0" fillId="0" borderId="0" xfId="0" applyNumberFormat="1"/>
    <xf numFmtId="165" fontId="0" fillId="2" borderId="0" xfId="0" applyNumberForma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9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0" fontId="0" fillId="0" borderId="0" xfId="0" pivotButton="1" applyAlignment="1">
      <alignment wrapText="1"/>
    </xf>
    <xf numFmtId="9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2" fillId="0" borderId="0" xfId="0" applyFont="1"/>
    <xf numFmtId="9" fontId="2" fillId="0" borderId="0" xfId="0" applyNumberFormat="1" applyFont="1"/>
    <xf numFmtId="3" fontId="2" fillId="0" borderId="0" xfId="0" applyNumberFormat="1" applyFont="1"/>
    <xf numFmtId="14" fontId="0" fillId="0" borderId="0" xfId="0" applyNumberFormat="1" applyAlignment="1">
      <alignment horizontal="left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3" fontId="0" fillId="0" borderId="1" xfId="0" applyNumberFormat="1" applyBorder="1"/>
    <xf numFmtId="0" fontId="0" fillId="0" borderId="1" xfId="0" applyBorder="1"/>
    <xf numFmtId="9" fontId="0" fillId="0" borderId="1" xfId="0" applyNumberFormat="1" applyBorder="1"/>
    <xf numFmtId="1" fontId="0" fillId="0" borderId="0" xfId="0" applyNumberFormat="1"/>
    <xf numFmtId="0" fontId="0" fillId="0" borderId="2" xfId="0" applyBorder="1" applyAlignment="1">
      <alignment wrapText="1"/>
    </xf>
    <xf numFmtId="0" fontId="0" fillId="0" borderId="2" xfId="0" applyBorder="1"/>
    <xf numFmtId="166" fontId="0" fillId="0" borderId="0" xfId="0" applyNumberFormat="1"/>
    <xf numFmtId="0" fontId="0" fillId="0" borderId="0" xfId="0" applyAlignment="1">
      <alignment horizontal="center" vertical="top" wrapText="1"/>
    </xf>
    <xf numFmtId="0" fontId="0" fillId="0" borderId="3" xfId="0" applyBorder="1" applyAlignment="1">
      <alignment horizontal="left"/>
    </xf>
    <xf numFmtId="14" fontId="0" fillId="0" borderId="2" xfId="0" applyNumberFormat="1" applyBorder="1"/>
    <xf numFmtId="165" fontId="0" fillId="4" borderId="0" xfId="0" applyNumberFormat="1" applyFill="1" applyAlignment="1">
      <alignment wrapText="1"/>
    </xf>
    <xf numFmtId="169" fontId="0" fillId="0" borderId="0" xfId="0" applyNumberFormat="1"/>
    <xf numFmtId="169" fontId="0" fillId="0" borderId="3" xfId="0" applyNumberFormat="1" applyBorder="1"/>
    <xf numFmtId="169" fontId="0" fillId="0" borderId="2" xfId="0" applyNumberFormat="1" applyBorder="1"/>
    <xf numFmtId="169" fontId="0" fillId="0" borderId="4" xfId="0" applyNumberFormat="1" applyBorder="1"/>
  </cellXfs>
  <cellStyles count="1">
    <cellStyle name="Normal" xfId="0" builtinId="0"/>
  </cellStyles>
  <dxfs count="137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vertical="top"/>
    </dxf>
    <dxf>
      <alignment horizontal="center"/>
    </dxf>
    <dxf>
      <border>
        <top style="thin">
          <color auto="1"/>
        </top>
      </border>
    </dxf>
    <dxf>
      <border>
        <top style="thin">
          <color auto="1"/>
        </top>
      </border>
    </dxf>
    <dxf>
      <alignment wrapText="1"/>
    </dxf>
    <dxf>
      <alignment wrapText="1"/>
    </dxf>
    <dxf>
      <alignment vertical="top"/>
    </dxf>
    <dxf>
      <alignment horizontal="center"/>
    </dxf>
    <dxf>
      <border>
        <top style="thin">
          <color auto="1"/>
        </top>
      </border>
    </dxf>
    <dxf>
      <border>
        <top style="thin">
          <color auto="1"/>
        </top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alignment wrapText="1"/>
    </dxf>
    <dxf>
      <alignment wrapText="1"/>
    </dxf>
    <dxf>
      <alignment vertical="top"/>
    </dxf>
    <dxf>
      <alignment horizontal="center"/>
    </dxf>
    <dxf>
      <border>
        <top style="thin">
          <color auto="1"/>
        </top>
      </border>
    </dxf>
    <dxf>
      <border>
        <top style="thin">
          <color auto="1"/>
        </top>
      </border>
    </dxf>
    <dxf>
      <alignment wrapText="1"/>
    </dxf>
    <dxf>
      <alignment vertical="top"/>
    </dxf>
    <dxf>
      <alignment horizontal="center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5" formatCode="d\-m\-yy;@"/>
      <alignment horizontal="general" vertical="bottom" textRotation="0" wrapText="1" indent="0" justifyLastLine="0" shrinkToFit="0" readingOrder="0"/>
    </dxf>
    <dxf>
      <border>
        <left style="thin">
          <color auto="1"/>
        </left>
      </border>
    </dxf>
    <dxf>
      <numFmt numFmtId="0" formatCode="General"/>
    </dxf>
    <dxf>
      <alignment wrapText="1"/>
    </dxf>
    <dxf>
      <numFmt numFmtId="0" formatCode="General"/>
    </dxf>
    <dxf>
      <alignment wrapText="1"/>
    </dxf>
    <dxf>
      <border>
        <left style="thin">
          <color auto="1"/>
        </left>
      </border>
    </dxf>
    <dxf>
      <numFmt numFmtId="14" formatCode="0.00%"/>
    </dxf>
    <dxf>
      <numFmt numFmtId="0" formatCode="General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wrapText="1"/>
    </dxf>
    <dxf>
      <alignment wrapText="1"/>
    </dxf>
    <dxf>
      <alignment wrapText="1"/>
    </dxf>
    <dxf>
      <numFmt numFmtId="14" formatCode="0.00%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wrapText="1"/>
    </dxf>
    <dxf>
      <alignment wrapText="1"/>
    </dxf>
    <dxf>
      <alignment wrapText="1"/>
    </dxf>
    <dxf>
      <numFmt numFmtId="14" formatCode="0.00%"/>
    </dxf>
    <dxf>
      <alignment wrapText="1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9.xml"/><Relationship Id="rId18" Type="http://schemas.openxmlformats.org/officeDocument/2006/relationships/styles" Target="styles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47" Type="http://schemas.openxmlformats.org/officeDocument/2006/relationships/customXml" Target="../customXml/item24.xml"/><Relationship Id="rId50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6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45" Type="http://schemas.openxmlformats.org/officeDocument/2006/relationships/customXml" Target="../customXml/item22.xml"/><Relationship Id="rId53" Type="http://schemas.openxmlformats.org/officeDocument/2006/relationships/customXml" Target="../customXml/item30.xml"/><Relationship Id="rId5" Type="http://schemas.openxmlformats.org/officeDocument/2006/relationships/pivotCacheDefinition" Target="pivotCache/pivotCacheDefinition1.xml"/><Relationship Id="rId10" Type="http://schemas.openxmlformats.org/officeDocument/2006/relationships/pivotCacheDefinition" Target="pivotCache/pivotCacheDefinition6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8.xml"/><Relationship Id="rId44" Type="http://schemas.openxmlformats.org/officeDocument/2006/relationships/customXml" Target="../customXml/item21.xml"/><Relationship Id="rId52" Type="http://schemas.openxmlformats.org/officeDocument/2006/relationships/customXml" Target="../customXml/item29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microsoft.com/office/2007/relationships/slicerCache" Target="slicerCaches/slicerCache1.xml"/><Relationship Id="rId22" Type="http://schemas.microsoft.com/office/2017/10/relationships/person" Target="persons/person.xml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Relationship Id="rId48" Type="http://schemas.openxmlformats.org/officeDocument/2006/relationships/customXml" Target="../customXml/item25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2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8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46" Type="http://schemas.openxmlformats.org/officeDocument/2006/relationships/customXml" Target="../customXml/item23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microsoft.com/office/2007/relationships/slicerCache" Target="slicerCaches/slicerCache2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49" Type="http://schemas.openxmlformats.org/officeDocument/2006/relationships/customXml" Target="../customXml/item2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 Financiero (on go).xlsx]Hoja3!TablaDinámica4</c:name>
    <c:fmtId val="5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Hoja3!$B$45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Hoja3!$A$46:$A$82</c:f>
              <c:strCache>
                <c:ptCount val="36"/>
                <c:pt idx="0">
                  <c:v>01/01/2026</c:v>
                </c:pt>
                <c:pt idx="1">
                  <c:v>01/02/2026</c:v>
                </c:pt>
                <c:pt idx="2">
                  <c:v>01/03/2026</c:v>
                </c:pt>
                <c:pt idx="3">
                  <c:v>01/04/2026</c:v>
                </c:pt>
                <c:pt idx="4">
                  <c:v>01/05/2026</c:v>
                </c:pt>
                <c:pt idx="5">
                  <c:v>01/06/2026</c:v>
                </c:pt>
                <c:pt idx="6">
                  <c:v>01/07/2026</c:v>
                </c:pt>
                <c:pt idx="7">
                  <c:v>01/08/2026</c:v>
                </c:pt>
                <c:pt idx="8">
                  <c:v>01/09/2026</c:v>
                </c:pt>
                <c:pt idx="9">
                  <c:v>01/10/2026</c:v>
                </c:pt>
                <c:pt idx="10">
                  <c:v>01/11/2026</c:v>
                </c:pt>
                <c:pt idx="11">
                  <c:v>01/12/2026</c:v>
                </c:pt>
                <c:pt idx="12">
                  <c:v>01/01/2027</c:v>
                </c:pt>
                <c:pt idx="13">
                  <c:v>01/02/2027</c:v>
                </c:pt>
                <c:pt idx="14">
                  <c:v>01/03/2027</c:v>
                </c:pt>
                <c:pt idx="15">
                  <c:v>01/04/2027</c:v>
                </c:pt>
                <c:pt idx="16">
                  <c:v>01/05/2027</c:v>
                </c:pt>
                <c:pt idx="17">
                  <c:v>01/06/2027</c:v>
                </c:pt>
                <c:pt idx="18">
                  <c:v>01/07/2027</c:v>
                </c:pt>
                <c:pt idx="19">
                  <c:v>01/08/2027</c:v>
                </c:pt>
                <c:pt idx="20">
                  <c:v>01/09/2027</c:v>
                </c:pt>
                <c:pt idx="21">
                  <c:v>01/10/2027</c:v>
                </c:pt>
                <c:pt idx="22">
                  <c:v>01/11/2027</c:v>
                </c:pt>
                <c:pt idx="23">
                  <c:v>01/12/2027</c:v>
                </c:pt>
                <c:pt idx="24">
                  <c:v>01/01/2028</c:v>
                </c:pt>
                <c:pt idx="25">
                  <c:v>01/02/2028</c:v>
                </c:pt>
                <c:pt idx="26">
                  <c:v>01/03/2028</c:v>
                </c:pt>
                <c:pt idx="27">
                  <c:v>01/04/2028</c:v>
                </c:pt>
                <c:pt idx="28">
                  <c:v>01/05/2028</c:v>
                </c:pt>
                <c:pt idx="29">
                  <c:v>01/06/2028</c:v>
                </c:pt>
                <c:pt idx="30">
                  <c:v>01/07/2028</c:v>
                </c:pt>
                <c:pt idx="31">
                  <c:v>01/08/2028</c:v>
                </c:pt>
                <c:pt idx="32">
                  <c:v>01/09/2028</c:v>
                </c:pt>
                <c:pt idx="33">
                  <c:v>01/10/2028</c:v>
                </c:pt>
                <c:pt idx="34">
                  <c:v>01/11/2028</c:v>
                </c:pt>
                <c:pt idx="35">
                  <c:v>01/12/2028</c:v>
                </c:pt>
              </c:strCache>
            </c:strRef>
          </c:cat>
          <c:val>
            <c:numRef>
              <c:f>Hoja3!$B$46:$B$82</c:f>
              <c:numCache>
                <c:formatCode>#,##0</c:formatCode>
                <c:ptCount val="36"/>
                <c:pt idx="0">
                  <c:v>-3717</c:v>
                </c:pt>
                <c:pt idx="1">
                  <c:v>-5434</c:v>
                </c:pt>
                <c:pt idx="2">
                  <c:v>-7151</c:v>
                </c:pt>
                <c:pt idx="3">
                  <c:v>-11113</c:v>
                </c:pt>
                <c:pt idx="4">
                  <c:v>-10550</c:v>
                </c:pt>
                <c:pt idx="5">
                  <c:v>-9987</c:v>
                </c:pt>
                <c:pt idx="6">
                  <c:v>-6558</c:v>
                </c:pt>
                <c:pt idx="7">
                  <c:v>-7161</c:v>
                </c:pt>
                <c:pt idx="8">
                  <c:v>-4854</c:v>
                </c:pt>
                <c:pt idx="9">
                  <c:v>1575</c:v>
                </c:pt>
                <c:pt idx="10">
                  <c:v>3882</c:v>
                </c:pt>
                <c:pt idx="11">
                  <c:v>3279</c:v>
                </c:pt>
                <c:pt idx="12">
                  <c:v>12123</c:v>
                </c:pt>
                <c:pt idx="13">
                  <c:v>14167</c:v>
                </c:pt>
                <c:pt idx="14">
                  <c:v>16211</c:v>
                </c:pt>
                <c:pt idx="15">
                  <c:v>28055</c:v>
                </c:pt>
                <c:pt idx="16">
                  <c:v>30099</c:v>
                </c:pt>
                <c:pt idx="17">
                  <c:v>15476</c:v>
                </c:pt>
                <c:pt idx="18">
                  <c:v>20264</c:v>
                </c:pt>
                <c:pt idx="19">
                  <c:v>22308</c:v>
                </c:pt>
                <c:pt idx="20">
                  <c:v>24352</c:v>
                </c:pt>
                <c:pt idx="21">
                  <c:v>19529</c:v>
                </c:pt>
                <c:pt idx="22">
                  <c:v>21573</c:v>
                </c:pt>
                <c:pt idx="23">
                  <c:v>16561</c:v>
                </c:pt>
                <c:pt idx="24">
                  <c:v>23823</c:v>
                </c:pt>
                <c:pt idx="25">
                  <c:v>27907</c:v>
                </c:pt>
                <c:pt idx="26">
                  <c:v>31991</c:v>
                </c:pt>
                <c:pt idx="27">
                  <c:v>39253</c:v>
                </c:pt>
                <c:pt idx="28">
                  <c:v>43337</c:v>
                </c:pt>
                <c:pt idx="29">
                  <c:v>47421</c:v>
                </c:pt>
                <c:pt idx="30">
                  <c:v>54683</c:v>
                </c:pt>
                <c:pt idx="31">
                  <c:v>51711</c:v>
                </c:pt>
                <c:pt idx="32">
                  <c:v>55795</c:v>
                </c:pt>
                <c:pt idx="33">
                  <c:v>63057</c:v>
                </c:pt>
                <c:pt idx="34">
                  <c:v>67141</c:v>
                </c:pt>
                <c:pt idx="35">
                  <c:v>64169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CA-450A-A756-92A866D86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9251984"/>
        <c:axId val="729254384"/>
      </c:lineChart>
      <c:catAx>
        <c:axId val="72925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9254384"/>
        <c:crosses val="autoZero"/>
        <c:auto val="1"/>
        <c:lblAlgn val="ctr"/>
        <c:lblOffset val="100"/>
        <c:noMultiLvlLbl val="0"/>
      </c:catAx>
      <c:valAx>
        <c:axId val="72925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925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222884</xdr:colOff>
      <xdr:row>0</xdr:row>
      <xdr:rowOff>161926</xdr:rowOff>
    </xdr:from>
    <xdr:to>
      <xdr:col>14</xdr:col>
      <xdr:colOff>457199</xdr:colOff>
      <xdr:row>10</xdr:row>
      <xdr:rowOff>85726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ncepto">
              <a:extLst>
                <a:ext uri="{FF2B5EF4-FFF2-40B4-BE49-F238E27FC236}">
                  <a16:creationId xmlns:a16="http://schemas.microsoft.com/office/drawing/2014/main" id="{1D20B465-D7A7-3457-1AF9-4E85C76E9F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cep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09859" y="161926"/>
              <a:ext cx="2520315" cy="201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514350</xdr:colOff>
      <xdr:row>0</xdr:row>
      <xdr:rowOff>142875</xdr:rowOff>
    </xdr:from>
    <xdr:to>
      <xdr:col>17</xdr:col>
      <xdr:colOff>400050</xdr:colOff>
      <xdr:row>9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ño">
              <a:extLst>
                <a:ext uri="{FF2B5EF4-FFF2-40B4-BE49-F238E27FC236}">
                  <a16:creationId xmlns:a16="http://schemas.microsoft.com/office/drawing/2014/main" id="{8890DF94-3D5C-230B-FCA1-10D5EC47D4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87325" y="142875"/>
              <a:ext cx="2171700" cy="1905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466725</xdr:colOff>
      <xdr:row>47</xdr:row>
      <xdr:rowOff>38099</xdr:rowOff>
    </xdr:from>
    <xdr:to>
      <xdr:col>12</xdr:col>
      <xdr:colOff>295275</xdr:colOff>
      <xdr:row>65</xdr:row>
      <xdr:rowOff>28574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DAE7AD5-89A1-1D90-DCC3-EB540E5CF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ego Haisch" id="{77FAF668-4FDA-4BFB-ABF4-2B900CB03C6D}" userId="S::diego.haisch@predixia.es::3c335e44-c0f6-449e-ae8f-9971d1b2a67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Haisch" refreshedDate="46000.423654166669" createdVersion="8" refreshedVersion="8" minRefreshableVersion="3" recordCount="369" xr:uid="{46B07296-FC8D-457E-BF38-37516D946AC5}">
  <cacheSource type="worksheet">
    <worksheetSource name="Plan_financiero_1"/>
  </cacheSource>
  <cacheFields count="5">
    <cacheField name="Área" numFmtId="0">
      <sharedItems count="5">
        <s v="A-Proyección de ingresos"/>
        <s v="B-Inversión inicial / CapEx"/>
        <s v="C-Costes operativos / Opex"/>
        <s v="D-Otros costes operativos"/>
        <s v="C-Costes operativos mensuales / Opex" u="1"/>
      </sharedItems>
    </cacheField>
    <cacheField name="Concepto" numFmtId="0">
      <sharedItems count="18">
        <s v="€ Horas consultoría"/>
        <s v="Paquetes implementación"/>
        <s v="SaaS"/>
        <s v="Planes de formación"/>
        <s v="Web"/>
        <s v="Programación Saas"/>
        <s v="Programación paquete servicio"/>
        <s v="Ordenadores y dispositivos oficina"/>
        <s v="Licencias software"/>
        <s v="Nóminas"/>
        <s v="Alquiler coworking"/>
        <s v="Marketing"/>
        <s v="Seguridad social autónomo"/>
        <s v="Gestoría"/>
        <s v="Formación"/>
        <s v="Remuneración socios" u="1"/>
        <s v="contratación" u="1"/>
        <s v="Alquiler oficina" u="1"/>
      </sharedItems>
    </cacheField>
    <cacheField name="Fecha" numFmtId="14">
      <sharedItems containsSemiMixedTypes="0" containsNonDate="0" containsDate="1" containsString="0" minDate="2026-01-01T00:00:00" maxDate="2028-12-02T00:00:00" count="36"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d v="2027-01-01T00:00:00"/>
        <d v="2027-02-01T00:00:00"/>
        <d v="2027-03-01T00:00:00"/>
        <d v="2027-04-01T00:00:00"/>
        <d v="2027-05-01T00:00:00"/>
        <d v="2027-06-01T00:00:00"/>
        <d v="2027-07-01T00:00:00"/>
        <d v="2027-08-01T00:00:00"/>
        <d v="2027-09-01T00:00:00"/>
        <d v="2027-10-01T00:00:00"/>
        <d v="2027-11-01T00:00:00"/>
        <d v="2027-12-01T00:00:00"/>
        <d v="2028-01-01T00:00:00"/>
        <d v="2028-02-01T00:00:00"/>
        <d v="2028-03-01T00:00:00"/>
        <d v="2028-04-01T00:00:00"/>
        <d v="2028-05-01T00:00:00"/>
        <d v="2028-06-01T00:00:00"/>
        <d v="2028-07-01T00:00:00"/>
        <d v="2028-08-01T00:00:00"/>
        <d v="2028-09-01T00:00:00"/>
        <d v="2028-10-01T00:00:00"/>
        <d v="2028-11-01T00:00:00"/>
        <d v="2028-12-01T00:00:00"/>
      </sharedItems>
    </cacheField>
    <cacheField name="Valor" numFmtId="0">
      <sharedItems containsSemiMixedTypes="0" containsString="0" containsNumber="1" containsInteger="1" minValue="-16667" maxValue="18750"/>
    </cacheField>
    <cacheField name="Año" numFmtId="0">
      <sharedItems containsSemiMixedTypes="0" containsString="0" containsNumber="1" containsInteger="1" minValue="2026" maxValue="2028" count="3">
        <n v="2026"/>
        <n v="2027"/>
        <n v="2028"/>
      </sharedItems>
    </cacheField>
  </cacheFields>
  <extLst>
    <ext xmlns:x14="http://schemas.microsoft.com/office/spreadsheetml/2009/9/main" uri="{725AE2AE-9491-48be-B2B4-4EB974FC3084}">
      <x14:pivotCacheDefinition pivotCacheId="178875122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ego Haisch" refreshedDate="46224.829401736111" backgroundQuery="1" createdVersion="8" refreshedVersion="8" minRefreshableVersion="3" recordCount="0" supportSubquery="1" supportAdvancedDrill="1" xr:uid="{B7ACAD9A-FB9C-4035-95D7-4B2CF292220A}">
  <cacheSource type="external" connectionId="3"/>
  <cacheFields count="7">
    <cacheField name="[A_time].[Year].[Year]" caption="Year" numFmtId="0" hierarchy="1" level="1">
      <sharedItems containsSemiMixedTypes="0" containsNonDate="0" containsString="0"/>
    </cacheField>
    <cacheField name="[Measures].[Facturación €]" caption="Facturación €" numFmtId="0" hierarchy="12" level="32767"/>
    <cacheField name="[Measures].[Gastos Opex]" caption="Gastos Opex" numFmtId="0" hierarchy="13" level="32767"/>
    <cacheField name="[Measures].[Ebitda €]" caption="Ebitda €" numFmtId="0" hierarchy="17" level="32767"/>
    <cacheField name="[Measures].[Impuestos]" caption="Impuestos" numFmtId="0" hierarchy="18" level="32767"/>
    <cacheField name="[Measures].[Beneficio Neto €]" caption="Beneficio Neto €" numFmtId="0" hierarchy="19" level="32767"/>
    <cacheField name="[A_time].[Date_BOM].[Date_BOM]" caption="Date_BOM" numFmtId="0" hierarchy="2" level="1">
      <sharedItems containsSemiMixedTypes="0" containsNonDate="0" containsDate="1" containsString="0" minDate="2026-01-01T00:00:00" maxDate="2029-12-02T00:00:00" count="48"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d v="2027-01-01T00:00:00"/>
        <d v="2027-02-01T00:00:00"/>
        <d v="2027-03-01T00:00:00"/>
        <d v="2027-04-01T00:00:00"/>
        <d v="2027-05-01T00:00:00"/>
        <d v="2027-06-01T00:00:00"/>
        <d v="2027-07-01T00:00:00"/>
        <d v="2027-08-01T00:00:00"/>
        <d v="2027-09-01T00:00:00"/>
        <d v="2027-10-01T00:00:00"/>
        <d v="2027-11-01T00:00:00"/>
        <d v="2027-12-01T00:00:00"/>
        <d v="2028-01-01T00:00:00"/>
        <d v="2028-02-01T00:00:00"/>
        <d v="2028-03-01T00:00:00"/>
        <d v="2028-04-01T00:00:00"/>
        <d v="2028-05-01T00:00:00"/>
        <d v="2028-06-01T00:00:00"/>
        <d v="2028-07-01T00:00:00"/>
        <d v="2028-08-01T00:00:00"/>
        <d v="2028-09-01T00:00:00"/>
        <d v="2028-10-01T00:00:00"/>
        <d v="2028-11-01T00:00:00"/>
        <d v="2028-12-01T00:00:00"/>
        <d v="2029-01-01T00:00:00"/>
        <d v="2029-02-01T00:00:00"/>
        <d v="2029-03-01T00:00:00"/>
        <d v="2029-04-01T00:00:00"/>
        <d v="2029-05-01T00:00:00"/>
        <d v="2029-06-01T00:00:00"/>
        <d v="2029-07-01T00:00:00"/>
        <d v="2029-08-01T00:00:00"/>
        <d v="2029-09-01T00:00:00"/>
        <d v="2029-10-01T00:00:00"/>
        <d v="2029-11-01T00:00:00"/>
        <d v="2029-12-01T00:00:00"/>
      </sharedItems>
    </cacheField>
  </cacheFields>
  <cacheHierarchies count="23">
    <cacheHierarchy uniqueName="[A_time].[Date]" caption="Date" attribute="1" time="1" defaultMemberUniqueName="[A_time].[Date].[All]" allUniqueName="[A_time].[Date].[All]" dimensionUniqueName="[A_time]" displayFolder="" count="0" memberValueDatatype="7" unbalanced="0"/>
    <cacheHierarchy uniqueName="[A_time].[Year]" caption="Year" attribute="1" defaultMemberUniqueName="[A_time].[Year].[All]" allUniqueName="[A_time].[Year].[All]" dimensionUniqueName="[A_time]" displayFolder="" count="2" memberValueDatatype="20" unbalanced="0">
      <fieldsUsage count="2">
        <fieldUsage x="-1"/>
        <fieldUsage x="0"/>
      </fieldsUsage>
    </cacheHierarchy>
    <cacheHierarchy uniqueName="[A_time].[Date_BOM]" caption="Date_BOM" attribute="1" time="1" defaultMemberUniqueName="[A_time].[Date_BOM].[All]" allUniqueName="[A_time].[Date_BOM].[All]" dimensionUniqueName="[A_time]" displayFolder="" count="2" memberValueDatatype="7" unbalanced="0">
      <fieldsUsage count="2">
        <fieldUsage x="-1"/>
        <fieldUsage x="6"/>
      </fieldsUsage>
    </cacheHierarchy>
    <cacheHierarchy uniqueName="[A_time].[Date_BOW]" caption="Date_BOW" attribute="1" time="1" defaultMemberUniqueName="[A_time].[Date_BOW].[All]" allUniqueName="[A_time].[Date_BOW].[All]" dimensionUniqueName="[A_time]" displayFolder="" count="0" memberValueDatatype="7" unbalanced="0"/>
    <cacheHierarchy uniqueName="[A_time].[Rolling_Date]" caption="Rolling_Date" attribute="1" defaultMemberUniqueName="[A_time].[Rolling_Date].[All]" allUniqueName="[A_time].[Rolling_Date].[All]" dimensionUniqueName="[A_time]" displayFolder="" count="0" memberValueDatatype="20" unbalanced="0"/>
    <cacheHierarchy uniqueName="[A_time].[Rolling_Month]" caption="Rolling_Month" attribute="1" defaultMemberUniqueName="[A_time].[Rolling_Month].[All]" allUniqueName="[A_time].[Rolling_Month].[All]" dimensionUniqueName="[A_time]" displayFolder="" count="0" memberValueDatatype="20" unbalanced="0"/>
    <cacheHierarchy uniqueName="[Plan_financiero].[Concepto]" caption="Concepto" attribute="1" defaultMemberUniqueName="[Plan_financiero].[Concepto].[All]" allUniqueName="[Plan_financiero].[Concepto].[All]" dimensionUniqueName="[Plan_financiero]" displayFolder="" count="0" memberValueDatatype="130" unbalanced="0"/>
    <cacheHierarchy uniqueName="[Plan_financiero].[Partida]" caption="Partida" attribute="1" defaultMemberUniqueName="[Plan_financiero].[Partida].[All]" allUniqueName="[Plan_financiero].[Partida].[All]" dimensionUniqueName="[Plan_financiero]" displayFolder="" count="0" memberValueDatatype="130" unbalanced="0"/>
    <cacheHierarchy uniqueName="[Plan_financiero].[Fecha]" caption="Fecha" attribute="1" time="1" defaultMemberUniqueName="[Plan_financiero].[Fecha].[All]" allUniqueName="[Plan_financiero].[Fecha].[All]" dimensionUniqueName="[Plan_financiero]" displayFolder="" count="0" memberValueDatatype="7" unbalanced="0"/>
    <cacheHierarchy uniqueName="[Plan_financiero].[Valor]" caption="Valor" attribute="1" defaultMemberUniqueName="[Plan_financiero].[Valor].[All]" allUniqueName="[Plan_financiero].[Valor].[All]" dimensionUniqueName="[Plan_financiero]" displayFolder="" count="0" memberValueDatatype="20" unbalanced="0"/>
    <cacheHierarchy uniqueName="[Plan_financiero].[Año]" caption="Año" attribute="1" defaultMemberUniqueName="[Plan_financiero].[Año].[All]" allUniqueName="[Plan_financiero].[Año].[All]" dimensionUniqueName="[Plan_financiero]" displayFolder="" count="0" memberValueDatatype="20" unbalanced="0"/>
    <cacheHierarchy uniqueName="[Measures].[Inversión Inicial]" caption="Inversión Inicial" measure="1" displayFolder="" measureGroup="Plan_financiero" count="0"/>
    <cacheHierarchy uniqueName="[Measures].[Facturación €]" caption="Facturación €" measure="1" displayFolder="" measureGroup="Plan_financiero" count="0" oneField="1">
      <fieldsUsage count="1">
        <fieldUsage x="1"/>
      </fieldsUsage>
    </cacheHierarchy>
    <cacheHierarchy uniqueName="[Measures].[Gastos Opex]" caption="Gastos Opex" measure="1" displayFolder="" measureGroup="Plan_financiero" count="0" oneField="1">
      <fieldsUsage count="1">
        <fieldUsage x="2"/>
      </fieldsUsage>
    </cacheHierarchy>
    <cacheHierarchy uniqueName="[Measures].[Ebitda %]" caption="Ebitda %" measure="1" displayFolder="" measureGroup="Plan_financiero" count="0"/>
    <cacheHierarchy uniqueName="[Measures].[Punto de equilibrio]" caption="Punto de equilibrio" measure="1" displayFolder="" measureGroup="Plan_financiero" count="0"/>
    <cacheHierarchy uniqueName="[Measures].[Gastos Capex]" caption="Gastos Capex" measure="1" displayFolder="" measureGroup="Plan_financiero" count="0"/>
    <cacheHierarchy uniqueName="[Measures].[Ebitda €]" caption="Ebitda €" measure="1" displayFolder="" measureGroup="Plan_financiero" count="0" oneField="1">
      <fieldsUsage count="1">
        <fieldUsage x="3"/>
      </fieldsUsage>
    </cacheHierarchy>
    <cacheHierarchy uniqueName="[Measures].[Impuestos]" caption="Impuestos" measure="1" displayFolder="" measureGroup="Plan_financiero" count="0" oneField="1">
      <fieldsUsage count="1">
        <fieldUsage x="4"/>
      </fieldsUsage>
    </cacheHierarchy>
    <cacheHierarchy uniqueName="[Measures].[Beneficio Neto €]" caption="Beneficio Neto €" measure="1" displayFolder="" measureGroup="Plan_financiero" count="0" oneField="1">
      <fieldsUsage count="1">
        <fieldUsage x="5"/>
      </fieldsUsage>
    </cacheHierarchy>
    <cacheHierarchy uniqueName="[Measures].[__XL_Count A_time]" caption="__XL_Count A_time" measure="1" displayFolder="" measureGroup="A_time" count="0" hidden="1"/>
    <cacheHierarchy uniqueName="[Measures].[__XL_Count Plan_financiero]" caption="__XL_Count Plan_financiero" measure="1" displayFolder="" measureGroup="Plan_financiero" count="0" hidden="1"/>
    <cacheHierarchy uniqueName="[Measures].[__No measures defined]" caption="__No measures defined" measure="1" displayFolder="" count="0" hidden="1"/>
  </cacheHierarchies>
  <kpis count="0"/>
  <dimensions count="3">
    <dimension name="A_time" uniqueName="[A_time]" caption="A_time"/>
    <dimension measure="1" name="Measures" uniqueName="[Measures]" caption="Measures"/>
    <dimension name="Plan_financiero" uniqueName="[Plan_financiero]" caption="Plan_financiero"/>
  </dimensions>
  <measureGroups count="2">
    <measureGroup name="A_time" caption="A_time"/>
    <measureGroup name="Plan_financiero" caption="Plan_financiero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ego Haisch" refreshedDate="46224.829403124997" backgroundQuery="1" createdVersion="8" refreshedVersion="8" minRefreshableVersion="3" recordCount="0" supportSubquery="1" supportAdvancedDrill="1" xr:uid="{7282B8D9-5D2A-48C0-9DA0-6C716B6FE128}">
  <cacheSource type="external" connectionId="3"/>
  <cacheFields count="6">
    <cacheField name="[A_time].[Year].[Year]" caption="Year" numFmtId="0" hierarchy="1" level="1">
      <sharedItems containsSemiMixedTypes="0" containsString="0" containsNumber="1" containsInteger="1" minValue="2026" maxValue="2029" count="4">
        <n v="2026"/>
        <n v="2027"/>
        <n v="2028"/>
        <n v="2029"/>
      </sharedItems>
      <extLst>
        <ext xmlns:x15="http://schemas.microsoft.com/office/spreadsheetml/2010/11/main" uri="{4F2E5C28-24EA-4eb8-9CBF-B6C8F9C3D259}">
          <x15:cachedUniqueNames>
            <x15:cachedUniqueName index="0" name="[A_time].[Year].&amp;[2026]"/>
            <x15:cachedUniqueName index="1" name="[A_time].[Year].&amp;[2027]"/>
            <x15:cachedUniqueName index="2" name="[A_time].[Year].&amp;[2028]"/>
            <x15:cachedUniqueName index="3" name="[A_time].[Year].&amp;[2029]"/>
          </x15:cachedUniqueNames>
        </ext>
      </extLst>
    </cacheField>
    <cacheField name="[Measures].[Facturación €]" caption="Facturación €" numFmtId="0" hierarchy="12" level="32767"/>
    <cacheField name="[Measures].[Gastos Opex]" caption="Gastos Opex" numFmtId="0" hierarchy="13" level="32767"/>
    <cacheField name="[Measures].[Ebitda €]" caption="Ebitda €" numFmtId="0" hierarchy="17" level="32767"/>
    <cacheField name="[Measures].[Impuestos]" caption="Impuestos" numFmtId="0" hierarchy="18" level="32767"/>
    <cacheField name="[Measures].[Beneficio Neto €]" caption="Beneficio Neto €" numFmtId="0" hierarchy="19" level="32767"/>
  </cacheFields>
  <cacheHierarchies count="23">
    <cacheHierarchy uniqueName="[A_time].[Date]" caption="Date" attribute="1" time="1" defaultMemberUniqueName="[A_time].[Date].[All]" allUniqueName="[A_time].[Date].[All]" dimensionUniqueName="[A_time]" displayFolder="" count="0" memberValueDatatype="7" unbalanced="0"/>
    <cacheHierarchy uniqueName="[A_time].[Year]" caption="Year" attribute="1" defaultMemberUniqueName="[A_time].[Year].[All]" allUniqueName="[A_time].[Year].[All]" dimensionUniqueName="[A_time]" displayFolder="" count="2" memberValueDatatype="20" unbalanced="0">
      <fieldsUsage count="2">
        <fieldUsage x="-1"/>
        <fieldUsage x="0"/>
      </fieldsUsage>
    </cacheHierarchy>
    <cacheHierarchy uniqueName="[A_time].[Date_BOM]" caption="Date_BOM" attribute="1" time="1" defaultMemberUniqueName="[A_time].[Date_BOM].[All]" allUniqueName="[A_time].[Date_BOM].[All]" dimensionUniqueName="[A_time]" displayFolder="" count="0" memberValueDatatype="7" unbalanced="0"/>
    <cacheHierarchy uniqueName="[A_time].[Date_BOW]" caption="Date_BOW" attribute="1" time="1" defaultMemberUniqueName="[A_time].[Date_BOW].[All]" allUniqueName="[A_time].[Date_BOW].[All]" dimensionUniqueName="[A_time]" displayFolder="" count="0" memberValueDatatype="7" unbalanced="0"/>
    <cacheHierarchy uniqueName="[A_time].[Rolling_Date]" caption="Rolling_Date" attribute="1" defaultMemberUniqueName="[A_time].[Rolling_Date].[All]" allUniqueName="[A_time].[Rolling_Date].[All]" dimensionUniqueName="[A_time]" displayFolder="" count="0" memberValueDatatype="20" unbalanced="0"/>
    <cacheHierarchy uniqueName="[A_time].[Rolling_Month]" caption="Rolling_Month" attribute="1" defaultMemberUniqueName="[A_time].[Rolling_Month].[All]" allUniqueName="[A_time].[Rolling_Month].[All]" dimensionUniqueName="[A_time]" displayFolder="" count="0" memberValueDatatype="20" unbalanced="0"/>
    <cacheHierarchy uniqueName="[Plan_financiero].[Concepto]" caption="Concepto" attribute="1" defaultMemberUniqueName="[Plan_financiero].[Concepto].[All]" allUniqueName="[Plan_financiero].[Concepto].[All]" dimensionUniqueName="[Plan_financiero]" displayFolder="" count="0" memberValueDatatype="130" unbalanced="0"/>
    <cacheHierarchy uniqueName="[Plan_financiero].[Partida]" caption="Partida" attribute="1" defaultMemberUniqueName="[Plan_financiero].[Partida].[All]" allUniqueName="[Plan_financiero].[Partida].[All]" dimensionUniqueName="[Plan_financiero]" displayFolder="" count="0" memberValueDatatype="130" unbalanced="0"/>
    <cacheHierarchy uniqueName="[Plan_financiero].[Fecha]" caption="Fecha" attribute="1" time="1" defaultMemberUniqueName="[Plan_financiero].[Fecha].[All]" allUniqueName="[Plan_financiero].[Fecha].[All]" dimensionUniqueName="[Plan_financiero]" displayFolder="" count="0" memberValueDatatype="7" unbalanced="0"/>
    <cacheHierarchy uniqueName="[Plan_financiero].[Valor]" caption="Valor" attribute="1" defaultMemberUniqueName="[Plan_financiero].[Valor].[All]" allUniqueName="[Plan_financiero].[Valor].[All]" dimensionUniqueName="[Plan_financiero]" displayFolder="" count="0" memberValueDatatype="20" unbalanced="0"/>
    <cacheHierarchy uniqueName="[Plan_financiero].[Año]" caption="Año" attribute="1" defaultMemberUniqueName="[Plan_financiero].[Año].[All]" allUniqueName="[Plan_financiero].[Año].[All]" dimensionUniqueName="[Plan_financiero]" displayFolder="" count="0" memberValueDatatype="20" unbalanced="0"/>
    <cacheHierarchy uniqueName="[Measures].[Inversión Inicial]" caption="Inversión Inicial" measure="1" displayFolder="" measureGroup="Plan_financiero" count="0"/>
    <cacheHierarchy uniqueName="[Measures].[Facturación €]" caption="Facturación €" measure="1" displayFolder="" measureGroup="Plan_financiero" count="0" oneField="1">
      <fieldsUsage count="1">
        <fieldUsage x="1"/>
      </fieldsUsage>
    </cacheHierarchy>
    <cacheHierarchy uniqueName="[Measures].[Gastos Opex]" caption="Gastos Opex" measure="1" displayFolder="" measureGroup="Plan_financiero" count="0" oneField="1">
      <fieldsUsage count="1">
        <fieldUsage x="2"/>
      </fieldsUsage>
    </cacheHierarchy>
    <cacheHierarchy uniqueName="[Measures].[Ebitda %]" caption="Ebitda %" measure="1" displayFolder="" measureGroup="Plan_financiero" count="0"/>
    <cacheHierarchy uniqueName="[Measures].[Punto de equilibrio]" caption="Punto de equilibrio" measure="1" displayFolder="" measureGroup="Plan_financiero" count="0"/>
    <cacheHierarchy uniqueName="[Measures].[Gastos Capex]" caption="Gastos Capex" measure="1" displayFolder="" measureGroup="Plan_financiero" count="0"/>
    <cacheHierarchy uniqueName="[Measures].[Ebitda €]" caption="Ebitda €" measure="1" displayFolder="" measureGroup="Plan_financiero" count="0" oneField="1">
      <fieldsUsage count="1">
        <fieldUsage x="3"/>
      </fieldsUsage>
    </cacheHierarchy>
    <cacheHierarchy uniqueName="[Measures].[Impuestos]" caption="Impuestos" measure="1" displayFolder="" measureGroup="Plan_financiero" count="0" oneField="1">
      <fieldsUsage count="1">
        <fieldUsage x="4"/>
      </fieldsUsage>
    </cacheHierarchy>
    <cacheHierarchy uniqueName="[Measures].[Beneficio Neto €]" caption="Beneficio Neto €" measure="1" displayFolder="" measureGroup="Plan_financiero" count="0" oneField="1">
      <fieldsUsage count="1">
        <fieldUsage x="5"/>
      </fieldsUsage>
    </cacheHierarchy>
    <cacheHierarchy uniqueName="[Measures].[__XL_Count A_time]" caption="__XL_Count A_time" measure="1" displayFolder="" measureGroup="A_time" count="0" hidden="1"/>
    <cacheHierarchy uniqueName="[Measures].[__XL_Count Plan_financiero]" caption="__XL_Count Plan_financiero" measure="1" displayFolder="" measureGroup="Plan_financiero" count="0" hidden="1"/>
    <cacheHierarchy uniqueName="[Measures].[__No measures defined]" caption="__No measures defined" measure="1" displayFolder="" count="0" hidden="1"/>
  </cacheHierarchies>
  <kpis count="0"/>
  <dimensions count="3">
    <dimension name="A_time" uniqueName="[A_time]" caption="A_time"/>
    <dimension measure="1" name="Measures" uniqueName="[Measures]" caption="Measures"/>
    <dimension name="Plan_financiero" uniqueName="[Plan_financiero]" caption="Plan_financiero"/>
  </dimensions>
  <measureGroups count="2">
    <measureGroup name="A_time" caption="A_time"/>
    <measureGroup name="Plan_financiero" caption="Plan_financiero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ego Haisch" refreshedDate="46224.82940451389" backgroundQuery="1" createdVersion="8" refreshedVersion="8" minRefreshableVersion="3" recordCount="0" supportSubquery="1" supportAdvancedDrill="1" xr:uid="{FD843C7C-5B95-49CE-B0B2-8C3ECA5D12FD}">
  <cacheSource type="external" connectionId="3"/>
  <cacheFields count="6">
    <cacheField name="[A_time].[Year].[Year]" caption="Year" numFmtId="0" hierarchy="1" level="1">
      <sharedItems containsSemiMixedTypes="0" containsString="0" containsNumber="1" containsInteger="1" minValue="2026" maxValue="2029" count="4">
        <n v="2026"/>
        <n v="2027"/>
        <n v="2028"/>
        <n v="2029"/>
      </sharedItems>
      <extLst>
        <ext xmlns:x15="http://schemas.microsoft.com/office/spreadsheetml/2010/11/main" uri="{4F2E5C28-24EA-4eb8-9CBF-B6C8F9C3D259}">
          <x15:cachedUniqueNames>
            <x15:cachedUniqueName index="0" name="[A_time].[Year].&amp;[2026]"/>
            <x15:cachedUniqueName index="1" name="[A_time].[Year].&amp;[2027]"/>
            <x15:cachedUniqueName index="2" name="[A_time].[Year].&amp;[2028]"/>
            <x15:cachedUniqueName index="3" name="[A_time].[Year].&amp;[2029]"/>
          </x15:cachedUniqueNames>
        </ext>
      </extLst>
    </cacheField>
    <cacheField name="[Measures].[Facturación €]" caption="Facturación €" numFmtId="0" hierarchy="12" level="32767"/>
    <cacheField name="[Measures].[Gastos Opex]" caption="Gastos Opex" numFmtId="0" hierarchy="13" level="32767"/>
    <cacheField name="[Measures].[Ebitda €]" caption="Ebitda €" numFmtId="0" hierarchy="17" level="32767"/>
    <cacheField name="[Measures].[Impuestos]" caption="Impuestos" numFmtId="0" hierarchy="18" level="32767"/>
    <cacheField name="[Measures].[Beneficio Neto €]" caption="Beneficio Neto €" numFmtId="0" hierarchy="19" level="32767"/>
  </cacheFields>
  <cacheHierarchies count="23">
    <cacheHierarchy uniqueName="[A_time].[Date]" caption="Date" attribute="1" time="1" defaultMemberUniqueName="[A_time].[Date].[All]" allUniqueName="[A_time].[Date].[All]" dimensionUniqueName="[A_time]" displayFolder="" count="0" memberValueDatatype="7" unbalanced="0"/>
    <cacheHierarchy uniqueName="[A_time].[Year]" caption="Year" attribute="1" defaultMemberUniqueName="[A_time].[Year].[All]" allUniqueName="[A_time].[Year].[All]" dimensionUniqueName="[A_time]" displayFolder="" count="2" memberValueDatatype="20" unbalanced="0">
      <fieldsUsage count="2">
        <fieldUsage x="-1"/>
        <fieldUsage x="0"/>
      </fieldsUsage>
    </cacheHierarchy>
    <cacheHierarchy uniqueName="[A_time].[Date_BOM]" caption="Date_BOM" attribute="1" time="1" defaultMemberUniqueName="[A_time].[Date_BOM].[All]" allUniqueName="[A_time].[Date_BOM].[All]" dimensionUniqueName="[A_time]" displayFolder="" count="0" memberValueDatatype="7" unbalanced="0"/>
    <cacheHierarchy uniqueName="[A_time].[Date_BOW]" caption="Date_BOW" attribute="1" time="1" defaultMemberUniqueName="[A_time].[Date_BOW].[All]" allUniqueName="[A_time].[Date_BOW].[All]" dimensionUniqueName="[A_time]" displayFolder="" count="0" memberValueDatatype="7" unbalanced="0"/>
    <cacheHierarchy uniqueName="[A_time].[Rolling_Date]" caption="Rolling_Date" attribute="1" defaultMemberUniqueName="[A_time].[Rolling_Date].[All]" allUniqueName="[A_time].[Rolling_Date].[All]" dimensionUniqueName="[A_time]" displayFolder="" count="0" memberValueDatatype="20" unbalanced="0"/>
    <cacheHierarchy uniqueName="[A_time].[Rolling_Month]" caption="Rolling_Month" attribute="1" defaultMemberUniqueName="[A_time].[Rolling_Month].[All]" allUniqueName="[A_time].[Rolling_Month].[All]" dimensionUniqueName="[A_time]" displayFolder="" count="0" memberValueDatatype="20" unbalanced="0"/>
    <cacheHierarchy uniqueName="[Plan_financiero].[Concepto]" caption="Concepto" attribute="1" defaultMemberUniqueName="[Plan_financiero].[Concepto].[All]" allUniqueName="[Plan_financiero].[Concepto].[All]" dimensionUniqueName="[Plan_financiero]" displayFolder="" count="0" memberValueDatatype="130" unbalanced="0"/>
    <cacheHierarchy uniqueName="[Plan_financiero].[Partida]" caption="Partida" attribute="1" defaultMemberUniqueName="[Plan_financiero].[Partida].[All]" allUniqueName="[Plan_financiero].[Partida].[All]" dimensionUniqueName="[Plan_financiero]" displayFolder="" count="0" memberValueDatatype="130" unbalanced="0"/>
    <cacheHierarchy uniqueName="[Plan_financiero].[Fecha]" caption="Fecha" attribute="1" time="1" defaultMemberUniqueName="[Plan_financiero].[Fecha].[All]" allUniqueName="[Plan_financiero].[Fecha].[All]" dimensionUniqueName="[Plan_financiero]" displayFolder="" count="0" memberValueDatatype="7" unbalanced="0"/>
    <cacheHierarchy uniqueName="[Plan_financiero].[Valor]" caption="Valor" attribute="1" defaultMemberUniqueName="[Plan_financiero].[Valor].[All]" allUniqueName="[Plan_financiero].[Valor].[All]" dimensionUniqueName="[Plan_financiero]" displayFolder="" count="0" memberValueDatatype="20" unbalanced="0"/>
    <cacheHierarchy uniqueName="[Plan_financiero].[Año]" caption="Año" attribute="1" defaultMemberUniqueName="[Plan_financiero].[Año].[All]" allUniqueName="[Plan_financiero].[Año].[All]" dimensionUniqueName="[Plan_financiero]" displayFolder="" count="0" memberValueDatatype="20" unbalanced="0"/>
    <cacheHierarchy uniqueName="[Measures].[Inversión Inicial]" caption="Inversión Inicial" measure="1" displayFolder="" measureGroup="Plan_financiero" count="0"/>
    <cacheHierarchy uniqueName="[Measures].[Facturación €]" caption="Facturación €" measure="1" displayFolder="" measureGroup="Plan_financiero" count="0" oneField="1">
      <fieldsUsage count="1">
        <fieldUsage x="1"/>
      </fieldsUsage>
    </cacheHierarchy>
    <cacheHierarchy uniqueName="[Measures].[Gastos Opex]" caption="Gastos Opex" measure="1" displayFolder="" measureGroup="Plan_financiero" count="0" oneField="1">
      <fieldsUsage count="1">
        <fieldUsage x="2"/>
      </fieldsUsage>
    </cacheHierarchy>
    <cacheHierarchy uniqueName="[Measures].[Ebitda %]" caption="Ebitda %" measure="1" displayFolder="" measureGroup="Plan_financiero" count="0"/>
    <cacheHierarchy uniqueName="[Measures].[Punto de equilibrio]" caption="Punto de equilibrio" measure="1" displayFolder="" measureGroup="Plan_financiero" count="0"/>
    <cacheHierarchy uniqueName="[Measures].[Gastos Capex]" caption="Gastos Capex" measure="1" displayFolder="" measureGroup="Plan_financiero" count="0"/>
    <cacheHierarchy uniqueName="[Measures].[Ebitda €]" caption="Ebitda €" measure="1" displayFolder="" measureGroup="Plan_financiero" count="0" oneField="1">
      <fieldsUsage count="1">
        <fieldUsage x="3"/>
      </fieldsUsage>
    </cacheHierarchy>
    <cacheHierarchy uniqueName="[Measures].[Impuestos]" caption="Impuestos" measure="1" displayFolder="" measureGroup="Plan_financiero" count="0" oneField="1">
      <fieldsUsage count="1">
        <fieldUsage x="4"/>
      </fieldsUsage>
    </cacheHierarchy>
    <cacheHierarchy uniqueName="[Measures].[Beneficio Neto €]" caption="Beneficio Neto €" measure="1" displayFolder="" measureGroup="Plan_financiero" count="0" oneField="1">
      <fieldsUsage count="1">
        <fieldUsage x="5"/>
      </fieldsUsage>
    </cacheHierarchy>
    <cacheHierarchy uniqueName="[Measures].[__XL_Count A_time]" caption="__XL_Count A_time" measure="1" displayFolder="" measureGroup="A_time" count="0" hidden="1"/>
    <cacheHierarchy uniqueName="[Measures].[__XL_Count Plan_financiero]" caption="__XL_Count Plan_financiero" measure="1" displayFolder="" measureGroup="Plan_financiero" count="0" hidden="1"/>
    <cacheHierarchy uniqueName="[Measures].[__No measures defined]" caption="__No measures defined" measure="1" displayFolder="" count="0" hidden="1"/>
  </cacheHierarchies>
  <kpis count="0"/>
  <dimensions count="3">
    <dimension name="A_time" uniqueName="[A_time]" caption="A_time"/>
    <dimension measure="1" name="Measures" uniqueName="[Measures]" caption="Measures"/>
    <dimension name="Plan_financiero" uniqueName="[Plan_financiero]" caption="Plan_financiero"/>
  </dimensions>
  <measureGroups count="2">
    <measureGroup name="A_time" caption="A_time"/>
    <measureGroup name="Plan_financiero" caption="Plan_financiero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ego Haisch" refreshedDate="46224.829405787037" backgroundQuery="1" createdVersion="8" refreshedVersion="8" minRefreshableVersion="3" recordCount="0" supportSubquery="1" supportAdvancedDrill="1" xr:uid="{94BC5F6A-7209-4ECC-9678-9B66DF5E27E6}">
  <cacheSource type="external" connectionId="3"/>
  <cacheFields count="1">
    <cacheField name="[Measures].[Inversión Inicial]" caption="Inversión Inicial" numFmtId="0" hierarchy="11" level="32767"/>
  </cacheFields>
  <cacheHierarchies count="23">
    <cacheHierarchy uniqueName="[A_time].[Date]" caption="Date" attribute="1" time="1" defaultMemberUniqueName="[A_time].[Date].[All]" allUniqueName="[A_time].[Date].[All]" dimensionUniqueName="[A_time]" displayFolder="" count="0" memberValueDatatype="7" unbalanced="0"/>
    <cacheHierarchy uniqueName="[A_time].[Year]" caption="Year" attribute="1" defaultMemberUniqueName="[A_time].[Year].[All]" allUniqueName="[A_time].[Year].[All]" dimensionUniqueName="[A_time]" displayFolder="" count="0" memberValueDatatype="20" unbalanced="0"/>
    <cacheHierarchy uniqueName="[A_time].[Date_BOM]" caption="Date_BOM" attribute="1" time="1" defaultMemberUniqueName="[A_time].[Date_BOM].[All]" allUniqueName="[A_time].[Date_BOM].[All]" dimensionUniqueName="[A_time]" displayFolder="" count="0" memberValueDatatype="7" unbalanced="0"/>
    <cacheHierarchy uniqueName="[A_time].[Date_BOW]" caption="Date_BOW" attribute="1" time="1" defaultMemberUniqueName="[A_time].[Date_BOW].[All]" allUniqueName="[A_time].[Date_BOW].[All]" dimensionUniqueName="[A_time]" displayFolder="" count="0" memberValueDatatype="7" unbalanced="0"/>
    <cacheHierarchy uniqueName="[A_time].[Rolling_Date]" caption="Rolling_Date" attribute="1" defaultMemberUniqueName="[A_time].[Rolling_Date].[All]" allUniqueName="[A_time].[Rolling_Date].[All]" dimensionUniqueName="[A_time]" displayFolder="" count="0" memberValueDatatype="20" unbalanced="0"/>
    <cacheHierarchy uniqueName="[A_time].[Rolling_Month]" caption="Rolling_Month" attribute="1" defaultMemberUniqueName="[A_time].[Rolling_Month].[All]" allUniqueName="[A_time].[Rolling_Month].[All]" dimensionUniqueName="[A_time]" displayFolder="" count="0" memberValueDatatype="20" unbalanced="0"/>
    <cacheHierarchy uniqueName="[Plan_financiero].[Concepto]" caption="Concepto" attribute="1" defaultMemberUniqueName="[Plan_financiero].[Concepto].[All]" allUniqueName="[Plan_financiero].[Concepto].[All]" dimensionUniqueName="[Plan_financiero]" displayFolder="" count="0" memberValueDatatype="130" unbalanced="0"/>
    <cacheHierarchy uniqueName="[Plan_financiero].[Partida]" caption="Partida" attribute="1" defaultMemberUniqueName="[Plan_financiero].[Partida].[All]" allUniqueName="[Plan_financiero].[Partida].[All]" dimensionUniqueName="[Plan_financiero]" displayFolder="" count="0" memberValueDatatype="130" unbalanced="0"/>
    <cacheHierarchy uniqueName="[Plan_financiero].[Fecha]" caption="Fecha" attribute="1" time="1" defaultMemberUniqueName="[Plan_financiero].[Fecha].[All]" allUniqueName="[Plan_financiero].[Fecha].[All]" dimensionUniqueName="[Plan_financiero]" displayFolder="" count="0" memberValueDatatype="7" unbalanced="0"/>
    <cacheHierarchy uniqueName="[Plan_financiero].[Valor]" caption="Valor" attribute="1" defaultMemberUniqueName="[Plan_financiero].[Valor].[All]" allUniqueName="[Plan_financiero].[Valor].[All]" dimensionUniqueName="[Plan_financiero]" displayFolder="" count="0" memberValueDatatype="20" unbalanced="0"/>
    <cacheHierarchy uniqueName="[Plan_financiero].[Año]" caption="Año" attribute="1" defaultMemberUniqueName="[Plan_financiero].[Año].[All]" allUniqueName="[Plan_financiero].[Año].[All]" dimensionUniqueName="[Plan_financiero]" displayFolder="" count="0" memberValueDatatype="20" unbalanced="0"/>
    <cacheHierarchy uniqueName="[Measures].[Inversión Inicial]" caption="Inversión Inicial" measure="1" displayFolder="" measureGroup="Plan_financiero" count="0" oneField="1">
      <fieldsUsage count="1">
        <fieldUsage x="0"/>
      </fieldsUsage>
    </cacheHierarchy>
    <cacheHierarchy uniqueName="[Measures].[Facturación €]" caption="Facturación €" measure="1" displayFolder="" measureGroup="Plan_financiero" count="0"/>
    <cacheHierarchy uniqueName="[Measures].[Gastos Opex]" caption="Gastos Opex" measure="1" displayFolder="" measureGroup="Plan_financiero" count="0"/>
    <cacheHierarchy uniqueName="[Measures].[Ebitda %]" caption="Ebitda %" measure="1" displayFolder="" measureGroup="Plan_financiero" count="0"/>
    <cacheHierarchy uniqueName="[Measures].[Punto de equilibrio]" caption="Punto de equilibrio" measure="1" displayFolder="" measureGroup="Plan_financiero" count="0"/>
    <cacheHierarchy uniqueName="[Measures].[Gastos Capex]" caption="Gastos Capex" measure="1" displayFolder="" measureGroup="Plan_financiero" count="0"/>
    <cacheHierarchy uniqueName="[Measures].[Ebitda €]" caption="Ebitda €" measure="1" displayFolder="" measureGroup="Plan_financiero" count="0"/>
    <cacheHierarchy uniqueName="[Measures].[Impuestos]" caption="Impuestos" measure="1" displayFolder="" measureGroup="Plan_financiero" count="0"/>
    <cacheHierarchy uniqueName="[Measures].[Beneficio Neto €]" caption="Beneficio Neto €" measure="1" displayFolder="" measureGroup="Plan_financiero" count="0"/>
    <cacheHierarchy uniqueName="[Measures].[__XL_Count A_time]" caption="__XL_Count A_time" measure="1" displayFolder="" measureGroup="A_time" count="0" hidden="1"/>
    <cacheHierarchy uniqueName="[Measures].[__XL_Count Plan_financiero]" caption="__XL_Count Plan_financiero" measure="1" displayFolder="" measureGroup="Plan_financiero" count="0" hidden="1"/>
    <cacheHierarchy uniqueName="[Measures].[__No measures defined]" caption="__No measures defined" measure="1" displayFolder="" count="0" hidden="1"/>
  </cacheHierarchies>
  <kpis count="0"/>
  <dimensions count="3">
    <dimension name="A_time" uniqueName="[A_time]" caption="A_time"/>
    <dimension measure="1" name="Measures" uniqueName="[Measures]" caption="Measures"/>
    <dimension name="Plan_financiero" uniqueName="[Plan_financiero]" caption="Plan_financiero"/>
  </dimensions>
  <measureGroups count="2">
    <measureGroup name="A_time" caption="A_time"/>
    <measureGroup name="Plan_financiero" caption="Plan_financiero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ego Haisch" refreshedDate="46224.829407291669" backgroundQuery="1" createdVersion="8" refreshedVersion="8" minRefreshableVersion="3" recordCount="0" supportSubquery="1" supportAdvancedDrill="1" xr:uid="{496EF571-126A-4E8A-936F-9C195E887C7F}">
  <cacheSource type="external" connectionId="3"/>
  <cacheFields count="3">
    <cacheField name="[Measures].[Facturación €]" caption="Facturación €" numFmtId="0" hierarchy="12" level="32767"/>
    <cacheField name="[A_time].[Year].[Year]" caption="Year" numFmtId="0" hierarchy="1" level="1">
      <sharedItems containsSemiMixedTypes="0" containsString="0" containsNumber="1" containsInteger="1" minValue="2026" maxValue="2029" count="4">
        <n v="2026"/>
        <n v="2027"/>
        <n v="2028"/>
        <n v="2029"/>
      </sharedItems>
      <extLst>
        <ext xmlns:x15="http://schemas.microsoft.com/office/spreadsheetml/2010/11/main" uri="{4F2E5C28-24EA-4eb8-9CBF-B6C8F9C3D259}">
          <x15:cachedUniqueNames>
            <x15:cachedUniqueName index="0" name="[A_time].[Year].&amp;[2026]"/>
            <x15:cachedUniqueName index="1" name="[A_time].[Year].&amp;[2027]"/>
            <x15:cachedUniqueName index="2" name="[A_time].[Year].&amp;[2028]"/>
            <x15:cachedUniqueName index="3" name="[A_time].[Year].&amp;[2029]"/>
          </x15:cachedUniqueNames>
        </ext>
      </extLst>
    </cacheField>
    <cacheField name="[Measures].[Ebitda %]" caption="Ebitda %" numFmtId="0" hierarchy="14" level="32767"/>
  </cacheFields>
  <cacheHierarchies count="23">
    <cacheHierarchy uniqueName="[A_time].[Date]" caption="Date" attribute="1" time="1" defaultMemberUniqueName="[A_time].[Date].[All]" allUniqueName="[A_time].[Date].[All]" dimensionUniqueName="[A_time]" displayFolder="" count="0" memberValueDatatype="7" unbalanced="0"/>
    <cacheHierarchy uniqueName="[A_time].[Year]" caption="Year" attribute="1" defaultMemberUniqueName="[A_time].[Year].[All]" allUniqueName="[A_time].[Year].[All]" dimensionUniqueName="[A_time]" displayFolder="" count="2" memberValueDatatype="20" unbalanced="0">
      <fieldsUsage count="2">
        <fieldUsage x="-1"/>
        <fieldUsage x="1"/>
      </fieldsUsage>
    </cacheHierarchy>
    <cacheHierarchy uniqueName="[A_time].[Date_BOM]" caption="Date_BOM" attribute="1" time="1" defaultMemberUniqueName="[A_time].[Date_BOM].[All]" allUniqueName="[A_time].[Date_BOM].[All]" dimensionUniqueName="[A_time]" displayFolder="" count="0" memberValueDatatype="7" unbalanced="0"/>
    <cacheHierarchy uniqueName="[A_time].[Date_BOW]" caption="Date_BOW" attribute="1" time="1" defaultMemberUniqueName="[A_time].[Date_BOW].[All]" allUniqueName="[A_time].[Date_BOW].[All]" dimensionUniqueName="[A_time]" displayFolder="" count="0" memberValueDatatype="7" unbalanced="0"/>
    <cacheHierarchy uniqueName="[A_time].[Rolling_Date]" caption="Rolling_Date" attribute="1" defaultMemberUniqueName="[A_time].[Rolling_Date].[All]" allUniqueName="[A_time].[Rolling_Date].[All]" dimensionUniqueName="[A_time]" displayFolder="" count="0" memberValueDatatype="20" unbalanced="0"/>
    <cacheHierarchy uniqueName="[A_time].[Rolling_Month]" caption="Rolling_Month" attribute="1" defaultMemberUniqueName="[A_time].[Rolling_Month].[All]" allUniqueName="[A_time].[Rolling_Month].[All]" dimensionUniqueName="[A_time]" displayFolder="" count="0" memberValueDatatype="20" unbalanced="0"/>
    <cacheHierarchy uniqueName="[Plan_financiero].[Concepto]" caption="Concepto" attribute="1" defaultMemberUniqueName="[Plan_financiero].[Concepto].[All]" allUniqueName="[Plan_financiero].[Concepto].[All]" dimensionUniqueName="[Plan_financiero]" displayFolder="" count="0" memberValueDatatype="130" unbalanced="0"/>
    <cacheHierarchy uniqueName="[Plan_financiero].[Partida]" caption="Partida" attribute="1" defaultMemberUniqueName="[Plan_financiero].[Partida].[All]" allUniqueName="[Plan_financiero].[Partida].[All]" dimensionUniqueName="[Plan_financiero]" displayFolder="" count="0" memberValueDatatype="130" unbalanced="0"/>
    <cacheHierarchy uniqueName="[Plan_financiero].[Fecha]" caption="Fecha" attribute="1" time="1" defaultMemberUniqueName="[Plan_financiero].[Fecha].[All]" allUniqueName="[Plan_financiero].[Fecha].[All]" dimensionUniqueName="[Plan_financiero]" displayFolder="" count="0" memberValueDatatype="7" unbalanced="0"/>
    <cacheHierarchy uniqueName="[Plan_financiero].[Valor]" caption="Valor" attribute="1" defaultMemberUniqueName="[Plan_financiero].[Valor].[All]" allUniqueName="[Plan_financiero].[Valor].[All]" dimensionUniqueName="[Plan_financiero]" displayFolder="" count="0" memberValueDatatype="20" unbalanced="0"/>
    <cacheHierarchy uniqueName="[Plan_financiero].[Año]" caption="Año" attribute="1" defaultMemberUniqueName="[Plan_financiero].[Año].[All]" allUniqueName="[Plan_financiero].[Año].[All]" dimensionUniqueName="[Plan_financiero]" displayFolder="" count="0" memberValueDatatype="20" unbalanced="0"/>
    <cacheHierarchy uniqueName="[Measures].[Inversión Inicial]" caption="Inversión Inicial" measure="1" displayFolder="" measureGroup="Plan_financiero" count="0"/>
    <cacheHierarchy uniqueName="[Measures].[Facturación €]" caption="Facturación €" measure="1" displayFolder="" measureGroup="Plan_financiero" count="0" oneField="1">
      <fieldsUsage count="1">
        <fieldUsage x="0"/>
      </fieldsUsage>
    </cacheHierarchy>
    <cacheHierarchy uniqueName="[Measures].[Gastos Opex]" caption="Gastos Opex" measure="1" displayFolder="" measureGroup="Plan_financiero" count="0"/>
    <cacheHierarchy uniqueName="[Measures].[Ebitda %]" caption="Ebitda %" measure="1" displayFolder="" measureGroup="Plan_financiero" count="0" oneField="1">
      <fieldsUsage count="1">
        <fieldUsage x="2"/>
      </fieldsUsage>
    </cacheHierarchy>
    <cacheHierarchy uniqueName="[Measures].[Punto de equilibrio]" caption="Punto de equilibrio" measure="1" displayFolder="" measureGroup="Plan_financiero" count="0"/>
    <cacheHierarchy uniqueName="[Measures].[Gastos Capex]" caption="Gastos Capex" measure="1" displayFolder="" measureGroup="Plan_financiero" count="0"/>
    <cacheHierarchy uniqueName="[Measures].[Ebitda €]" caption="Ebitda €" measure="1" displayFolder="" measureGroup="Plan_financiero" count="0"/>
    <cacheHierarchy uniqueName="[Measures].[Impuestos]" caption="Impuestos" measure="1" displayFolder="" measureGroup="Plan_financiero" count="0"/>
    <cacheHierarchy uniqueName="[Measures].[Beneficio Neto €]" caption="Beneficio Neto €" measure="1" displayFolder="" measureGroup="Plan_financiero" count="0"/>
    <cacheHierarchy uniqueName="[Measures].[__XL_Count A_time]" caption="__XL_Count A_time" measure="1" displayFolder="" measureGroup="A_time" count="0" hidden="1"/>
    <cacheHierarchy uniqueName="[Measures].[__XL_Count Plan_financiero]" caption="__XL_Count Plan_financiero" measure="1" displayFolder="" measureGroup="Plan_financiero" count="0" hidden="1"/>
    <cacheHierarchy uniqueName="[Measures].[__No measures defined]" caption="__No measures defined" measure="1" displayFolder="" count="0" hidden="1"/>
  </cacheHierarchies>
  <kpis count="0"/>
  <dimensions count="3">
    <dimension name="A_time" uniqueName="[A_time]" caption="A_time"/>
    <dimension measure="1" name="Measures" uniqueName="[Measures]" caption="Measures"/>
    <dimension name="Plan_financiero" uniqueName="[Plan_financiero]" caption="Plan_financiero"/>
  </dimensions>
  <measureGroups count="2">
    <measureGroup name="A_time" caption="A_time"/>
    <measureGroup name="Plan_financiero" caption="Plan_financiero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ego Haisch" refreshedDate="46224.829408796293" backgroundQuery="1" createdVersion="8" refreshedVersion="8" minRefreshableVersion="3" recordCount="0" supportSubquery="1" supportAdvancedDrill="1" xr:uid="{0F8E79CD-6A63-4E83-967A-188BF56E6CA8}">
  <cacheSource type="external" connectionId="3"/>
  <cacheFields count="3">
    <cacheField name="[Measures].[Facturación €]" caption="Facturación €" numFmtId="0" hierarchy="12" level="32767"/>
    <cacheField name="[A_time].[Year].[Year]" caption="Year" numFmtId="0" hierarchy="1" level="1">
      <sharedItems containsSemiMixedTypes="0" containsString="0" containsNumber="1" containsInteger="1" minValue="2026" maxValue="2029" count="4">
        <n v="2026"/>
        <n v="2027"/>
        <n v="2028"/>
        <n v="2029"/>
      </sharedItems>
      <extLst>
        <ext xmlns:x15="http://schemas.microsoft.com/office/spreadsheetml/2010/11/main" uri="{4F2E5C28-24EA-4eb8-9CBF-B6C8F9C3D259}">
          <x15:cachedUniqueNames>
            <x15:cachedUniqueName index="0" name="[A_time].[Year].&amp;[2026]"/>
            <x15:cachedUniqueName index="1" name="[A_time].[Year].&amp;[2027]"/>
            <x15:cachedUniqueName index="2" name="[A_time].[Year].&amp;[2028]"/>
            <x15:cachedUniqueName index="3" name="[A_time].[Year].&amp;[2029]"/>
          </x15:cachedUniqueNames>
        </ext>
      </extLst>
    </cacheField>
    <cacheField name="[Plan_financiero].[Partida].[Partida]" caption="Partida" numFmtId="0" hierarchy="7" level="1">
      <sharedItems count="3">
        <s v="Consultoría"/>
        <s v="Planes de formación"/>
        <s v="Servicio software"/>
      </sharedItems>
    </cacheField>
  </cacheFields>
  <cacheHierarchies count="23">
    <cacheHierarchy uniqueName="[A_time].[Date]" caption="Date" attribute="1" time="1" defaultMemberUniqueName="[A_time].[Date].[All]" allUniqueName="[A_time].[Date].[All]" dimensionUniqueName="[A_time]" displayFolder="" count="0" memberValueDatatype="7" unbalanced="0"/>
    <cacheHierarchy uniqueName="[A_time].[Year]" caption="Year" attribute="1" defaultMemberUniqueName="[A_time].[Year].[All]" allUniqueName="[A_time].[Year].[All]" dimensionUniqueName="[A_time]" displayFolder="" count="2" memberValueDatatype="20" unbalanced="0">
      <fieldsUsage count="2">
        <fieldUsage x="-1"/>
        <fieldUsage x="1"/>
      </fieldsUsage>
    </cacheHierarchy>
    <cacheHierarchy uniqueName="[A_time].[Date_BOM]" caption="Date_BOM" attribute="1" time="1" defaultMemberUniqueName="[A_time].[Date_BOM].[All]" allUniqueName="[A_time].[Date_BOM].[All]" dimensionUniqueName="[A_time]" displayFolder="" count="0" memberValueDatatype="7" unbalanced="0"/>
    <cacheHierarchy uniqueName="[A_time].[Date_BOW]" caption="Date_BOW" attribute="1" time="1" defaultMemberUniqueName="[A_time].[Date_BOW].[All]" allUniqueName="[A_time].[Date_BOW].[All]" dimensionUniqueName="[A_time]" displayFolder="" count="0" memberValueDatatype="7" unbalanced="0"/>
    <cacheHierarchy uniqueName="[A_time].[Rolling_Date]" caption="Rolling_Date" attribute="1" defaultMemberUniqueName="[A_time].[Rolling_Date].[All]" allUniqueName="[A_time].[Rolling_Date].[All]" dimensionUniqueName="[A_time]" displayFolder="" count="0" memberValueDatatype="20" unbalanced="0"/>
    <cacheHierarchy uniqueName="[A_time].[Rolling_Month]" caption="Rolling_Month" attribute="1" defaultMemberUniqueName="[A_time].[Rolling_Month].[All]" allUniqueName="[A_time].[Rolling_Month].[All]" dimensionUniqueName="[A_time]" displayFolder="" count="0" memberValueDatatype="20" unbalanced="0"/>
    <cacheHierarchy uniqueName="[Plan_financiero].[Concepto]" caption="Concepto" attribute="1" defaultMemberUniqueName="[Plan_financiero].[Concepto].[All]" allUniqueName="[Plan_financiero].[Concepto].[All]" dimensionUniqueName="[Plan_financiero]" displayFolder="" count="0" memberValueDatatype="130" unbalanced="0"/>
    <cacheHierarchy uniqueName="[Plan_financiero].[Partida]" caption="Partida" attribute="1" defaultMemberUniqueName="[Plan_financiero].[Partida].[All]" allUniqueName="[Plan_financiero].[Partida].[All]" dimensionUniqueName="[Plan_financiero]" displayFolder="" count="2" memberValueDatatype="130" unbalanced="0">
      <fieldsUsage count="2">
        <fieldUsage x="-1"/>
        <fieldUsage x="2"/>
      </fieldsUsage>
    </cacheHierarchy>
    <cacheHierarchy uniqueName="[Plan_financiero].[Fecha]" caption="Fecha" attribute="1" time="1" defaultMemberUniqueName="[Plan_financiero].[Fecha].[All]" allUniqueName="[Plan_financiero].[Fecha].[All]" dimensionUniqueName="[Plan_financiero]" displayFolder="" count="0" memberValueDatatype="7" unbalanced="0"/>
    <cacheHierarchy uniqueName="[Plan_financiero].[Valor]" caption="Valor" attribute="1" defaultMemberUniqueName="[Plan_financiero].[Valor].[All]" allUniqueName="[Plan_financiero].[Valor].[All]" dimensionUniqueName="[Plan_financiero]" displayFolder="" count="0" memberValueDatatype="20" unbalanced="0"/>
    <cacheHierarchy uniqueName="[Plan_financiero].[Año]" caption="Año" attribute="1" defaultMemberUniqueName="[Plan_financiero].[Año].[All]" allUniqueName="[Plan_financiero].[Año].[All]" dimensionUniqueName="[Plan_financiero]" displayFolder="" count="0" memberValueDatatype="20" unbalanced="0"/>
    <cacheHierarchy uniqueName="[Measures].[Inversión Inicial]" caption="Inversión Inicial" measure="1" displayFolder="" measureGroup="Plan_financiero" count="0"/>
    <cacheHierarchy uniqueName="[Measures].[Facturación €]" caption="Facturación €" measure="1" displayFolder="" measureGroup="Plan_financiero" count="0" oneField="1">
      <fieldsUsage count="1">
        <fieldUsage x="0"/>
      </fieldsUsage>
    </cacheHierarchy>
    <cacheHierarchy uniqueName="[Measures].[Gastos Opex]" caption="Gastos Opex" measure="1" displayFolder="" measureGroup="Plan_financiero" count="0"/>
    <cacheHierarchy uniqueName="[Measures].[Ebitda %]" caption="Ebitda %" measure="1" displayFolder="" measureGroup="Plan_financiero" count="0"/>
    <cacheHierarchy uniqueName="[Measures].[Punto de equilibrio]" caption="Punto de equilibrio" measure="1" displayFolder="" measureGroup="Plan_financiero" count="0"/>
    <cacheHierarchy uniqueName="[Measures].[Gastos Capex]" caption="Gastos Capex" measure="1" displayFolder="" measureGroup="Plan_financiero" count="0"/>
    <cacheHierarchy uniqueName="[Measures].[Ebitda €]" caption="Ebitda €" measure="1" displayFolder="" measureGroup="Plan_financiero" count="0"/>
    <cacheHierarchy uniqueName="[Measures].[Impuestos]" caption="Impuestos" measure="1" displayFolder="" measureGroup="Plan_financiero" count="0"/>
    <cacheHierarchy uniqueName="[Measures].[Beneficio Neto €]" caption="Beneficio Neto €" measure="1" displayFolder="" measureGroup="Plan_financiero" count="0"/>
    <cacheHierarchy uniqueName="[Measures].[__XL_Count A_time]" caption="__XL_Count A_time" measure="1" displayFolder="" measureGroup="A_time" count="0" hidden="1"/>
    <cacheHierarchy uniqueName="[Measures].[__XL_Count Plan_financiero]" caption="__XL_Count Plan_financiero" measure="1" displayFolder="" measureGroup="Plan_financiero" count="0" hidden="1"/>
    <cacheHierarchy uniqueName="[Measures].[__No measures defined]" caption="__No measures defined" measure="1" displayFolder="" count="0" hidden="1"/>
  </cacheHierarchies>
  <kpis count="0"/>
  <dimensions count="3">
    <dimension name="A_time" uniqueName="[A_time]" caption="A_time"/>
    <dimension measure="1" name="Measures" uniqueName="[Measures]" caption="Measures"/>
    <dimension name="Plan_financiero" uniqueName="[Plan_financiero]" caption="Plan_financiero"/>
  </dimensions>
  <measureGroups count="2">
    <measureGroup name="A_time" caption="A_time"/>
    <measureGroup name="Plan_financiero" caption="Plan_financiero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ego Haisch" refreshedDate="46224.829410300925" backgroundQuery="1" createdVersion="8" refreshedVersion="8" minRefreshableVersion="3" recordCount="0" supportSubquery="1" supportAdvancedDrill="1" xr:uid="{49A30FD4-BFAB-4CA9-BC4C-2D268AC98C19}">
  <cacheSource type="external" connectionId="3"/>
  <cacheFields count="3">
    <cacheField name="[A_time].[Year].[Year]" caption="Year" numFmtId="0" hierarchy="1" level="1">
      <sharedItems containsSemiMixedTypes="0" containsString="0" containsNumber="1" containsInteger="1" minValue="2026" maxValue="2029" count="4">
        <n v="2026"/>
        <n v="2027"/>
        <n v="2028"/>
        <n v="2029"/>
      </sharedItems>
      <extLst>
        <ext xmlns:x15="http://schemas.microsoft.com/office/spreadsheetml/2010/11/main" uri="{4F2E5C28-24EA-4eb8-9CBF-B6C8F9C3D259}">
          <x15:cachedUniqueNames>
            <x15:cachedUniqueName index="0" name="[A_time].[Year].&amp;[2026]"/>
            <x15:cachedUniqueName index="1" name="[A_time].[Year].&amp;[2027]"/>
            <x15:cachedUniqueName index="2" name="[A_time].[Year].&amp;[2028]"/>
            <x15:cachedUniqueName index="3" name="[A_time].[Year].&amp;[2029]"/>
          </x15:cachedUniqueNames>
        </ext>
      </extLst>
    </cacheField>
    <cacheField name="[Plan_financiero].[Partida].[Partida]" caption="Partida" numFmtId="0" hierarchy="7" level="1">
      <sharedItems count="7">
        <s v="Alquiler coworking"/>
        <s v="Formación"/>
        <s v="Gestoría"/>
        <s v="Licencias software"/>
        <s v="Marketing"/>
        <s v="Nóminas"/>
        <s v="Seguridad social autónomo"/>
      </sharedItems>
    </cacheField>
    <cacheField name="[Measures].[Gastos Opex]" caption="Gastos Opex" numFmtId="0" hierarchy="13" level="32767"/>
  </cacheFields>
  <cacheHierarchies count="23">
    <cacheHierarchy uniqueName="[A_time].[Date]" caption="Date" attribute="1" time="1" defaultMemberUniqueName="[A_time].[Date].[All]" allUniqueName="[A_time].[Date].[All]" dimensionUniqueName="[A_time]" displayFolder="" count="0" memberValueDatatype="7" unbalanced="0"/>
    <cacheHierarchy uniqueName="[A_time].[Year]" caption="Year" attribute="1" defaultMemberUniqueName="[A_time].[Year].[All]" allUniqueName="[A_time].[Year].[All]" dimensionUniqueName="[A_time]" displayFolder="" count="2" memberValueDatatype="20" unbalanced="0">
      <fieldsUsage count="2">
        <fieldUsage x="-1"/>
        <fieldUsage x="0"/>
      </fieldsUsage>
    </cacheHierarchy>
    <cacheHierarchy uniqueName="[A_time].[Date_BOM]" caption="Date_BOM" attribute="1" time="1" defaultMemberUniqueName="[A_time].[Date_BOM].[All]" allUniqueName="[A_time].[Date_BOM].[All]" dimensionUniqueName="[A_time]" displayFolder="" count="0" memberValueDatatype="7" unbalanced="0"/>
    <cacheHierarchy uniqueName="[A_time].[Date_BOW]" caption="Date_BOW" attribute="1" time="1" defaultMemberUniqueName="[A_time].[Date_BOW].[All]" allUniqueName="[A_time].[Date_BOW].[All]" dimensionUniqueName="[A_time]" displayFolder="" count="0" memberValueDatatype="7" unbalanced="0"/>
    <cacheHierarchy uniqueName="[A_time].[Rolling_Date]" caption="Rolling_Date" attribute="1" defaultMemberUniqueName="[A_time].[Rolling_Date].[All]" allUniqueName="[A_time].[Rolling_Date].[All]" dimensionUniqueName="[A_time]" displayFolder="" count="0" memberValueDatatype="20" unbalanced="0"/>
    <cacheHierarchy uniqueName="[A_time].[Rolling_Month]" caption="Rolling_Month" attribute="1" defaultMemberUniqueName="[A_time].[Rolling_Month].[All]" allUniqueName="[A_time].[Rolling_Month].[All]" dimensionUniqueName="[A_time]" displayFolder="" count="0" memberValueDatatype="20" unbalanced="0"/>
    <cacheHierarchy uniqueName="[Plan_financiero].[Concepto]" caption="Concepto" attribute="1" defaultMemberUniqueName="[Plan_financiero].[Concepto].[All]" allUniqueName="[Plan_financiero].[Concepto].[All]" dimensionUniqueName="[Plan_financiero]" displayFolder="" count="0" memberValueDatatype="130" unbalanced="0"/>
    <cacheHierarchy uniqueName="[Plan_financiero].[Partida]" caption="Partida" attribute="1" defaultMemberUniqueName="[Plan_financiero].[Partida].[All]" allUniqueName="[Plan_financiero].[Partida].[All]" dimensionUniqueName="[Plan_financiero]" displayFolder="" count="2" memberValueDatatype="130" unbalanced="0">
      <fieldsUsage count="2">
        <fieldUsage x="-1"/>
        <fieldUsage x="1"/>
      </fieldsUsage>
    </cacheHierarchy>
    <cacheHierarchy uniqueName="[Plan_financiero].[Fecha]" caption="Fecha" attribute="1" time="1" defaultMemberUniqueName="[Plan_financiero].[Fecha].[All]" allUniqueName="[Plan_financiero].[Fecha].[All]" dimensionUniqueName="[Plan_financiero]" displayFolder="" count="0" memberValueDatatype="7" unbalanced="0"/>
    <cacheHierarchy uniqueName="[Plan_financiero].[Valor]" caption="Valor" attribute="1" defaultMemberUniqueName="[Plan_financiero].[Valor].[All]" allUniqueName="[Plan_financiero].[Valor].[All]" dimensionUniqueName="[Plan_financiero]" displayFolder="" count="0" memberValueDatatype="20" unbalanced="0"/>
    <cacheHierarchy uniqueName="[Plan_financiero].[Año]" caption="Año" attribute="1" defaultMemberUniqueName="[Plan_financiero].[Año].[All]" allUniqueName="[Plan_financiero].[Año].[All]" dimensionUniqueName="[Plan_financiero]" displayFolder="" count="0" memberValueDatatype="20" unbalanced="0"/>
    <cacheHierarchy uniqueName="[Measures].[Inversión Inicial]" caption="Inversión Inicial" measure="1" displayFolder="" measureGroup="Plan_financiero" count="0"/>
    <cacheHierarchy uniqueName="[Measures].[Facturación €]" caption="Facturación €" measure="1" displayFolder="" measureGroup="Plan_financiero" count="0"/>
    <cacheHierarchy uniqueName="[Measures].[Gastos Opex]" caption="Gastos Opex" measure="1" displayFolder="" measureGroup="Plan_financiero" count="0" oneField="1">
      <fieldsUsage count="1">
        <fieldUsage x="2"/>
      </fieldsUsage>
    </cacheHierarchy>
    <cacheHierarchy uniqueName="[Measures].[Ebitda %]" caption="Ebitda %" measure="1" displayFolder="" measureGroup="Plan_financiero" count="0"/>
    <cacheHierarchy uniqueName="[Measures].[Punto de equilibrio]" caption="Punto de equilibrio" measure="1" displayFolder="" measureGroup="Plan_financiero" count="0"/>
    <cacheHierarchy uniqueName="[Measures].[Gastos Capex]" caption="Gastos Capex" measure="1" displayFolder="" measureGroup="Plan_financiero" count="0"/>
    <cacheHierarchy uniqueName="[Measures].[Ebitda €]" caption="Ebitda €" measure="1" displayFolder="" measureGroup="Plan_financiero" count="0"/>
    <cacheHierarchy uniqueName="[Measures].[Impuestos]" caption="Impuestos" measure="1" displayFolder="" measureGroup="Plan_financiero" count="0"/>
    <cacheHierarchy uniqueName="[Measures].[Beneficio Neto €]" caption="Beneficio Neto €" measure="1" displayFolder="" measureGroup="Plan_financiero" count="0"/>
    <cacheHierarchy uniqueName="[Measures].[__XL_Count A_time]" caption="__XL_Count A_time" measure="1" displayFolder="" measureGroup="A_time" count="0" hidden="1"/>
    <cacheHierarchy uniqueName="[Measures].[__XL_Count Plan_financiero]" caption="__XL_Count Plan_financiero" measure="1" displayFolder="" measureGroup="Plan_financiero" count="0" hidden="1"/>
    <cacheHierarchy uniqueName="[Measures].[__No measures defined]" caption="__No measures defined" measure="1" displayFolder="" count="0" hidden="1"/>
  </cacheHierarchies>
  <kpis count="0"/>
  <dimensions count="3">
    <dimension name="A_time" uniqueName="[A_time]" caption="A_time"/>
    <dimension measure="1" name="Measures" uniqueName="[Measures]" caption="Measures"/>
    <dimension name="Plan_financiero" uniqueName="[Plan_financiero]" caption="Plan_financiero"/>
  </dimensions>
  <measureGroups count="2">
    <measureGroup name="A_time" caption="A_time"/>
    <measureGroup name="Plan_financiero" caption="Plan_financiero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ego Haisch" refreshedDate="46224.829411805556" backgroundQuery="1" createdVersion="8" refreshedVersion="8" minRefreshableVersion="3" recordCount="0" supportSubquery="1" supportAdvancedDrill="1" xr:uid="{C88760AC-D59B-4EC6-ACBA-AF4D4275162B}">
  <cacheSource type="external" connectionId="3"/>
  <cacheFields count="3">
    <cacheField name="[A_time].[Year].[Year]" caption="Year" numFmtId="0" hierarchy="1" level="1">
      <sharedItems containsSemiMixedTypes="0" containsString="0" containsNumber="1" containsInteger="1" minValue="2026" maxValue="2029" count="4">
        <n v="2026"/>
        <n v="2027"/>
        <n v="2028"/>
        <n v="2029"/>
      </sharedItems>
      <extLst>
        <ext xmlns:x15="http://schemas.microsoft.com/office/spreadsheetml/2010/11/main" uri="{4F2E5C28-24EA-4eb8-9CBF-B6C8F9C3D259}">
          <x15:cachedUniqueNames>
            <x15:cachedUniqueName index="0" name="[A_time].[Year].&amp;[2026]"/>
            <x15:cachedUniqueName index="1" name="[A_time].[Year].&amp;[2027]"/>
            <x15:cachedUniqueName index="2" name="[A_time].[Year].&amp;[2028]"/>
            <x15:cachedUniqueName index="3" name="[A_time].[Year].&amp;[2029]"/>
          </x15:cachedUniqueNames>
        </ext>
      </extLst>
    </cacheField>
    <cacheField name="[Plan_financiero].[Partida].[Partida]" caption="Partida" numFmtId="0" hierarchy="7" level="1">
      <sharedItems count="3">
        <s v="Acondicionamiento local coworking"/>
        <s v="Conformación sociedad"/>
        <s v="Programación Saas"/>
      </sharedItems>
    </cacheField>
    <cacheField name="[Measures].[Gastos Capex]" caption="Gastos Capex" numFmtId="0" hierarchy="16" level="32767"/>
  </cacheFields>
  <cacheHierarchies count="23">
    <cacheHierarchy uniqueName="[A_time].[Date]" caption="Date" attribute="1" time="1" defaultMemberUniqueName="[A_time].[Date].[All]" allUniqueName="[A_time].[Date].[All]" dimensionUniqueName="[A_time]" displayFolder="" count="0" memberValueDatatype="7" unbalanced="0"/>
    <cacheHierarchy uniqueName="[A_time].[Year]" caption="Year" attribute="1" defaultMemberUniqueName="[A_time].[Year].[All]" allUniqueName="[A_time].[Year].[All]" dimensionUniqueName="[A_time]" displayFolder="" count="2" memberValueDatatype="20" unbalanced="0">
      <fieldsUsage count="2">
        <fieldUsage x="-1"/>
        <fieldUsage x="0"/>
      </fieldsUsage>
    </cacheHierarchy>
    <cacheHierarchy uniqueName="[A_time].[Date_BOM]" caption="Date_BOM" attribute="1" time="1" defaultMemberUniqueName="[A_time].[Date_BOM].[All]" allUniqueName="[A_time].[Date_BOM].[All]" dimensionUniqueName="[A_time]" displayFolder="" count="0" memberValueDatatype="7" unbalanced="0"/>
    <cacheHierarchy uniqueName="[A_time].[Date_BOW]" caption="Date_BOW" attribute="1" time="1" defaultMemberUniqueName="[A_time].[Date_BOW].[All]" allUniqueName="[A_time].[Date_BOW].[All]" dimensionUniqueName="[A_time]" displayFolder="" count="0" memberValueDatatype="7" unbalanced="0"/>
    <cacheHierarchy uniqueName="[A_time].[Rolling_Date]" caption="Rolling_Date" attribute="1" defaultMemberUniqueName="[A_time].[Rolling_Date].[All]" allUniqueName="[A_time].[Rolling_Date].[All]" dimensionUniqueName="[A_time]" displayFolder="" count="0" memberValueDatatype="20" unbalanced="0"/>
    <cacheHierarchy uniqueName="[A_time].[Rolling_Month]" caption="Rolling_Month" attribute="1" defaultMemberUniqueName="[A_time].[Rolling_Month].[All]" allUniqueName="[A_time].[Rolling_Month].[All]" dimensionUniqueName="[A_time]" displayFolder="" count="0" memberValueDatatype="20" unbalanced="0"/>
    <cacheHierarchy uniqueName="[Plan_financiero].[Concepto]" caption="Concepto" attribute="1" defaultMemberUniqueName="[Plan_financiero].[Concepto].[All]" allUniqueName="[Plan_financiero].[Concepto].[All]" dimensionUniqueName="[Plan_financiero]" displayFolder="" count="0" memberValueDatatype="130" unbalanced="0"/>
    <cacheHierarchy uniqueName="[Plan_financiero].[Partida]" caption="Partida" attribute="1" defaultMemberUniqueName="[Plan_financiero].[Partida].[All]" allUniqueName="[Plan_financiero].[Partida].[All]" dimensionUniqueName="[Plan_financiero]" displayFolder="" count="2" memberValueDatatype="130" unbalanced="0">
      <fieldsUsage count="2">
        <fieldUsage x="-1"/>
        <fieldUsage x="1"/>
      </fieldsUsage>
    </cacheHierarchy>
    <cacheHierarchy uniqueName="[Plan_financiero].[Fecha]" caption="Fecha" attribute="1" time="1" defaultMemberUniqueName="[Plan_financiero].[Fecha].[All]" allUniqueName="[Plan_financiero].[Fecha].[All]" dimensionUniqueName="[Plan_financiero]" displayFolder="" count="0" memberValueDatatype="7" unbalanced="0"/>
    <cacheHierarchy uniqueName="[Plan_financiero].[Valor]" caption="Valor" attribute="1" defaultMemberUniqueName="[Plan_financiero].[Valor].[All]" allUniqueName="[Plan_financiero].[Valor].[All]" dimensionUniqueName="[Plan_financiero]" displayFolder="" count="0" memberValueDatatype="20" unbalanced="0"/>
    <cacheHierarchy uniqueName="[Plan_financiero].[Año]" caption="Año" attribute="1" defaultMemberUniqueName="[Plan_financiero].[Año].[All]" allUniqueName="[Plan_financiero].[Año].[All]" dimensionUniqueName="[Plan_financiero]" displayFolder="" count="0" memberValueDatatype="20" unbalanced="0"/>
    <cacheHierarchy uniqueName="[Measures].[Inversión Inicial]" caption="Inversión Inicial" measure="1" displayFolder="" measureGroup="Plan_financiero" count="0"/>
    <cacheHierarchy uniqueName="[Measures].[Facturación €]" caption="Facturación €" measure="1" displayFolder="" measureGroup="Plan_financiero" count="0"/>
    <cacheHierarchy uniqueName="[Measures].[Gastos Opex]" caption="Gastos Opex" measure="1" displayFolder="" measureGroup="Plan_financiero" count="0"/>
    <cacheHierarchy uniqueName="[Measures].[Ebitda %]" caption="Ebitda %" measure="1" displayFolder="" measureGroup="Plan_financiero" count="0"/>
    <cacheHierarchy uniqueName="[Measures].[Punto de equilibrio]" caption="Punto de equilibrio" measure="1" displayFolder="" measureGroup="Plan_financiero" count="0"/>
    <cacheHierarchy uniqueName="[Measures].[Gastos Capex]" caption="Gastos Capex" measure="1" displayFolder="" measureGroup="Plan_financiero" count="0" oneField="1">
      <fieldsUsage count="1">
        <fieldUsage x="2"/>
      </fieldsUsage>
    </cacheHierarchy>
    <cacheHierarchy uniqueName="[Measures].[Ebitda €]" caption="Ebitda €" measure="1" displayFolder="" measureGroup="Plan_financiero" count="0"/>
    <cacheHierarchy uniqueName="[Measures].[Impuestos]" caption="Impuestos" measure="1" displayFolder="" measureGroup="Plan_financiero" count="0"/>
    <cacheHierarchy uniqueName="[Measures].[Beneficio Neto €]" caption="Beneficio Neto €" measure="1" displayFolder="" measureGroup="Plan_financiero" count="0"/>
    <cacheHierarchy uniqueName="[Measures].[__XL_Count A_time]" caption="__XL_Count A_time" measure="1" displayFolder="" measureGroup="A_time" count="0" hidden="1"/>
    <cacheHierarchy uniqueName="[Measures].[__XL_Count Plan_financiero]" caption="__XL_Count Plan_financiero" measure="1" displayFolder="" measureGroup="Plan_financiero" count="0" hidden="1"/>
    <cacheHierarchy uniqueName="[Measures].[__No measures defined]" caption="__No measures defined" measure="1" displayFolder="" count="0" hidden="1"/>
  </cacheHierarchies>
  <kpis count="0"/>
  <dimensions count="3">
    <dimension name="A_time" uniqueName="[A_time]" caption="A_time"/>
    <dimension measure="1" name="Measures" uniqueName="[Measures]" caption="Measures"/>
    <dimension name="Plan_financiero" uniqueName="[Plan_financiero]" caption="Plan_financiero"/>
  </dimensions>
  <measureGroups count="2">
    <measureGroup name="A_time" caption="A_time"/>
    <measureGroup name="Plan_financiero" caption="Plan_financiero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x v="0"/>
    <x v="0"/>
    <x v="0"/>
    <n v="0"/>
    <x v="0"/>
  </r>
  <r>
    <x v="0"/>
    <x v="0"/>
    <x v="1"/>
    <n v="0"/>
    <x v="0"/>
  </r>
  <r>
    <x v="0"/>
    <x v="0"/>
    <x v="2"/>
    <n v="0"/>
    <x v="0"/>
  </r>
  <r>
    <x v="0"/>
    <x v="0"/>
    <x v="3"/>
    <n v="2400"/>
    <x v="0"/>
  </r>
  <r>
    <x v="0"/>
    <x v="0"/>
    <x v="4"/>
    <n v="2400"/>
    <x v="0"/>
  </r>
  <r>
    <x v="0"/>
    <x v="0"/>
    <x v="5"/>
    <n v="2400"/>
    <x v="0"/>
  </r>
  <r>
    <x v="0"/>
    <x v="0"/>
    <x v="6"/>
    <n v="4200"/>
    <x v="0"/>
  </r>
  <r>
    <x v="0"/>
    <x v="0"/>
    <x v="7"/>
    <n v="1200"/>
    <x v="0"/>
  </r>
  <r>
    <x v="0"/>
    <x v="0"/>
    <x v="8"/>
    <n v="4200"/>
    <x v="0"/>
  </r>
  <r>
    <x v="0"/>
    <x v="0"/>
    <x v="9"/>
    <n v="4200"/>
    <x v="0"/>
  </r>
  <r>
    <x v="0"/>
    <x v="0"/>
    <x v="10"/>
    <n v="4200"/>
    <x v="0"/>
  </r>
  <r>
    <x v="0"/>
    <x v="0"/>
    <x v="11"/>
    <n v="1200"/>
    <x v="0"/>
  </r>
  <r>
    <x v="0"/>
    <x v="0"/>
    <x v="12"/>
    <n v="7200"/>
    <x v="1"/>
  </r>
  <r>
    <x v="0"/>
    <x v="0"/>
    <x v="13"/>
    <n v="7200"/>
    <x v="1"/>
  </r>
  <r>
    <x v="0"/>
    <x v="0"/>
    <x v="14"/>
    <n v="7200"/>
    <x v="1"/>
  </r>
  <r>
    <x v="0"/>
    <x v="0"/>
    <x v="15"/>
    <n v="7200"/>
    <x v="1"/>
  </r>
  <r>
    <x v="0"/>
    <x v="0"/>
    <x v="16"/>
    <n v="7200"/>
    <x v="1"/>
  </r>
  <r>
    <x v="0"/>
    <x v="0"/>
    <x v="17"/>
    <n v="7200"/>
    <x v="1"/>
  </r>
  <r>
    <x v="0"/>
    <x v="0"/>
    <x v="18"/>
    <n v="0"/>
    <x v="1"/>
  </r>
  <r>
    <x v="0"/>
    <x v="0"/>
    <x v="19"/>
    <n v="7200"/>
    <x v="1"/>
  </r>
  <r>
    <x v="0"/>
    <x v="0"/>
    <x v="20"/>
    <n v="7200"/>
    <x v="1"/>
  </r>
  <r>
    <x v="0"/>
    <x v="0"/>
    <x v="21"/>
    <n v="7200"/>
    <x v="1"/>
  </r>
  <r>
    <x v="0"/>
    <x v="0"/>
    <x v="22"/>
    <n v="7200"/>
    <x v="1"/>
  </r>
  <r>
    <x v="0"/>
    <x v="0"/>
    <x v="23"/>
    <n v="0"/>
    <x v="1"/>
  </r>
  <r>
    <x v="0"/>
    <x v="0"/>
    <x v="24"/>
    <n v="7200"/>
    <x v="2"/>
  </r>
  <r>
    <x v="0"/>
    <x v="0"/>
    <x v="25"/>
    <n v="7200"/>
    <x v="2"/>
  </r>
  <r>
    <x v="0"/>
    <x v="0"/>
    <x v="26"/>
    <n v="7200"/>
    <x v="2"/>
  </r>
  <r>
    <x v="0"/>
    <x v="0"/>
    <x v="27"/>
    <n v="7200"/>
    <x v="2"/>
  </r>
  <r>
    <x v="0"/>
    <x v="0"/>
    <x v="28"/>
    <n v="7200"/>
    <x v="2"/>
  </r>
  <r>
    <x v="0"/>
    <x v="0"/>
    <x v="29"/>
    <n v="7200"/>
    <x v="2"/>
  </r>
  <r>
    <x v="0"/>
    <x v="0"/>
    <x v="30"/>
    <n v="7200"/>
    <x v="2"/>
  </r>
  <r>
    <x v="0"/>
    <x v="0"/>
    <x v="31"/>
    <n v="0"/>
    <x v="2"/>
  </r>
  <r>
    <x v="0"/>
    <x v="0"/>
    <x v="32"/>
    <n v="7200"/>
    <x v="2"/>
  </r>
  <r>
    <x v="0"/>
    <x v="0"/>
    <x v="33"/>
    <n v="7200"/>
    <x v="2"/>
  </r>
  <r>
    <x v="0"/>
    <x v="0"/>
    <x v="34"/>
    <n v="7200"/>
    <x v="2"/>
  </r>
  <r>
    <x v="0"/>
    <x v="0"/>
    <x v="35"/>
    <n v="0"/>
    <x v="2"/>
  </r>
  <r>
    <x v="0"/>
    <x v="1"/>
    <x v="0"/>
    <n v="0"/>
    <x v="0"/>
  </r>
  <r>
    <x v="0"/>
    <x v="1"/>
    <x v="1"/>
    <n v="0"/>
    <x v="0"/>
  </r>
  <r>
    <x v="0"/>
    <x v="1"/>
    <x v="2"/>
    <n v="0"/>
    <x v="0"/>
  </r>
  <r>
    <x v="0"/>
    <x v="1"/>
    <x v="3"/>
    <n v="0"/>
    <x v="0"/>
  </r>
  <r>
    <x v="0"/>
    <x v="1"/>
    <x v="4"/>
    <n v="0"/>
    <x v="0"/>
  </r>
  <r>
    <x v="0"/>
    <x v="1"/>
    <x v="5"/>
    <n v="0"/>
    <x v="0"/>
  </r>
  <r>
    <x v="0"/>
    <x v="1"/>
    <x v="6"/>
    <n v="3750"/>
    <x v="0"/>
  </r>
  <r>
    <x v="0"/>
    <x v="1"/>
    <x v="7"/>
    <n v="0"/>
    <x v="0"/>
  </r>
  <r>
    <x v="0"/>
    <x v="1"/>
    <x v="8"/>
    <n v="0"/>
    <x v="0"/>
  </r>
  <r>
    <x v="0"/>
    <x v="1"/>
    <x v="9"/>
    <n v="3750"/>
    <x v="0"/>
  </r>
  <r>
    <x v="0"/>
    <x v="1"/>
    <x v="10"/>
    <n v="0"/>
    <x v="0"/>
  </r>
  <r>
    <x v="0"/>
    <x v="1"/>
    <x v="11"/>
    <n v="0"/>
    <x v="0"/>
  </r>
  <r>
    <x v="0"/>
    <x v="1"/>
    <x v="12"/>
    <n v="9000"/>
    <x v="1"/>
  </r>
  <r>
    <x v="0"/>
    <x v="1"/>
    <x v="13"/>
    <n v="0"/>
    <x v="1"/>
  </r>
  <r>
    <x v="0"/>
    <x v="1"/>
    <x v="14"/>
    <n v="0"/>
    <x v="1"/>
  </r>
  <r>
    <x v="0"/>
    <x v="1"/>
    <x v="15"/>
    <n v="9000"/>
    <x v="1"/>
  </r>
  <r>
    <x v="0"/>
    <x v="1"/>
    <x v="16"/>
    <n v="0"/>
    <x v="1"/>
  </r>
  <r>
    <x v="0"/>
    <x v="1"/>
    <x v="17"/>
    <n v="0"/>
    <x v="1"/>
  </r>
  <r>
    <x v="0"/>
    <x v="1"/>
    <x v="18"/>
    <n v="9000"/>
    <x v="1"/>
  </r>
  <r>
    <x v="0"/>
    <x v="1"/>
    <x v="19"/>
    <n v="0"/>
    <x v="1"/>
  </r>
  <r>
    <x v="0"/>
    <x v="1"/>
    <x v="20"/>
    <n v="0"/>
    <x v="1"/>
  </r>
  <r>
    <x v="0"/>
    <x v="1"/>
    <x v="21"/>
    <n v="9000"/>
    <x v="1"/>
  </r>
  <r>
    <x v="0"/>
    <x v="1"/>
    <x v="22"/>
    <n v="0"/>
    <x v="1"/>
  </r>
  <r>
    <x v="0"/>
    <x v="1"/>
    <x v="23"/>
    <n v="0"/>
    <x v="1"/>
  </r>
  <r>
    <x v="0"/>
    <x v="1"/>
    <x v="24"/>
    <n v="18750"/>
    <x v="2"/>
  </r>
  <r>
    <x v="0"/>
    <x v="1"/>
    <x v="25"/>
    <n v="0"/>
    <x v="2"/>
  </r>
  <r>
    <x v="0"/>
    <x v="1"/>
    <x v="26"/>
    <n v="0"/>
    <x v="2"/>
  </r>
  <r>
    <x v="0"/>
    <x v="1"/>
    <x v="27"/>
    <n v="18750"/>
    <x v="2"/>
  </r>
  <r>
    <x v="0"/>
    <x v="1"/>
    <x v="28"/>
    <n v="0"/>
    <x v="2"/>
  </r>
  <r>
    <x v="0"/>
    <x v="1"/>
    <x v="29"/>
    <n v="0"/>
    <x v="2"/>
  </r>
  <r>
    <x v="0"/>
    <x v="1"/>
    <x v="30"/>
    <n v="18750"/>
    <x v="2"/>
  </r>
  <r>
    <x v="0"/>
    <x v="1"/>
    <x v="31"/>
    <n v="0"/>
    <x v="2"/>
  </r>
  <r>
    <x v="0"/>
    <x v="1"/>
    <x v="32"/>
    <n v="0"/>
    <x v="2"/>
  </r>
  <r>
    <x v="0"/>
    <x v="1"/>
    <x v="33"/>
    <n v="18750"/>
    <x v="2"/>
  </r>
  <r>
    <x v="0"/>
    <x v="1"/>
    <x v="34"/>
    <n v="0"/>
    <x v="2"/>
  </r>
  <r>
    <x v="0"/>
    <x v="1"/>
    <x v="35"/>
    <n v="0"/>
    <x v="2"/>
  </r>
  <r>
    <x v="0"/>
    <x v="2"/>
    <x v="24"/>
    <n v="3000"/>
    <x v="2"/>
  </r>
  <r>
    <x v="0"/>
    <x v="2"/>
    <x v="25"/>
    <n v="3000"/>
    <x v="2"/>
  </r>
  <r>
    <x v="0"/>
    <x v="2"/>
    <x v="26"/>
    <n v="3000"/>
    <x v="2"/>
  </r>
  <r>
    <x v="0"/>
    <x v="2"/>
    <x v="27"/>
    <n v="3000"/>
    <x v="2"/>
  </r>
  <r>
    <x v="0"/>
    <x v="2"/>
    <x v="28"/>
    <n v="3000"/>
    <x v="2"/>
  </r>
  <r>
    <x v="0"/>
    <x v="2"/>
    <x v="29"/>
    <n v="3000"/>
    <x v="2"/>
  </r>
  <r>
    <x v="0"/>
    <x v="2"/>
    <x v="30"/>
    <n v="3000"/>
    <x v="2"/>
  </r>
  <r>
    <x v="0"/>
    <x v="2"/>
    <x v="31"/>
    <n v="3000"/>
    <x v="2"/>
  </r>
  <r>
    <x v="0"/>
    <x v="2"/>
    <x v="32"/>
    <n v="3000"/>
    <x v="2"/>
  </r>
  <r>
    <x v="0"/>
    <x v="2"/>
    <x v="33"/>
    <n v="3000"/>
    <x v="2"/>
  </r>
  <r>
    <x v="0"/>
    <x v="2"/>
    <x v="34"/>
    <n v="3000"/>
    <x v="2"/>
  </r>
  <r>
    <x v="0"/>
    <x v="2"/>
    <x v="35"/>
    <n v="3000"/>
    <x v="2"/>
  </r>
  <r>
    <x v="0"/>
    <x v="3"/>
    <x v="3"/>
    <n v="500"/>
    <x v="0"/>
  </r>
  <r>
    <x v="0"/>
    <x v="3"/>
    <x v="6"/>
    <n v="500"/>
    <x v="0"/>
  </r>
  <r>
    <x v="0"/>
    <x v="3"/>
    <x v="9"/>
    <n v="500"/>
    <x v="0"/>
  </r>
  <r>
    <x v="0"/>
    <x v="3"/>
    <x v="12"/>
    <n v="1000"/>
    <x v="1"/>
  </r>
  <r>
    <x v="0"/>
    <x v="3"/>
    <x v="15"/>
    <n v="1000"/>
    <x v="1"/>
  </r>
  <r>
    <x v="0"/>
    <x v="3"/>
    <x v="18"/>
    <n v="1000"/>
    <x v="1"/>
  </r>
  <r>
    <x v="0"/>
    <x v="3"/>
    <x v="21"/>
    <n v="1000"/>
    <x v="1"/>
  </r>
  <r>
    <x v="0"/>
    <x v="3"/>
    <x v="24"/>
    <n v="1500"/>
    <x v="2"/>
  </r>
  <r>
    <x v="0"/>
    <x v="3"/>
    <x v="27"/>
    <n v="1500"/>
    <x v="2"/>
  </r>
  <r>
    <x v="0"/>
    <x v="3"/>
    <x v="30"/>
    <n v="1500"/>
    <x v="2"/>
  </r>
  <r>
    <x v="0"/>
    <x v="3"/>
    <x v="33"/>
    <n v="1500"/>
    <x v="2"/>
  </r>
  <r>
    <x v="1"/>
    <x v="4"/>
    <x v="0"/>
    <n v="-2000"/>
    <x v="0"/>
  </r>
  <r>
    <x v="1"/>
    <x v="4"/>
    <x v="3"/>
    <n v="-2000"/>
    <x v="0"/>
  </r>
  <r>
    <x v="1"/>
    <x v="5"/>
    <x v="17"/>
    <n v="-16667"/>
    <x v="1"/>
  </r>
  <r>
    <x v="1"/>
    <x v="5"/>
    <x v="18"/>
    <n v="0"/>
    <x v="1"/>
  </r>
  <r>
    <x v="1"/>
    <x v="5"/>
    <x v="19"/>
    <n v="0"/>
    <x v="1"/>
  </r>
  <r>
    <x v="1"/>
    <x v="5"/>
    <x v="20"/>
    <n v="0"/>
    <x v="1"/>
  </r>
  <r>
    <x v="1"/>
    <x v="5"/>
    <x v="21"/>
    <n v="-16667"/>
    <x v="1"/>
  </r>
  <r>
    <x v="1"/>
    <x v="5"/>
    <x v="22"/>
    <n v="0"/>
    <x v="1"/>
  </r>
  <r>
    <x v="1"/>
    <x v="5"/>
    <x v="23"/>
    <n v="0"/>
    <x v="1"/>
  </r>
  <r>
    <x v="1"/>
    <x v="5"/>
    <x v="24"/>
    <n v="-16667"/>
    <x v="2"/>
  </r>
  <r>
    <x v="1"/>
    <x v="5"/>
    <x v="25"/>
    <n v="0"/>
    <x v="2"/>
  </r>
  <r>
    <x v="1"/>
    <x v="5"/>
    <x v="26"/>
    <n v="0"/>
    <x v="2"/>
  </r>
  <r>
    <x v="1"/>
    <x v="5"/>
    <x v="27"/>
    <n v="-16667"/>
    <x v="2"/>
  </r>
  <r>
    <x v="1"/>
    <x v="5"/>
    <x v="28"/>
    <n v="0"/>
    <x v="2"/>
  </r>
  <r>
    <x v="1"/>
    <x v="5"/>
    <x v="29"/>
    <n v="0"/>
    <x v="2"/>
  </r>
  <r>
    <x v="1"/>
    <x v="5"/>
    <x v="30"/>
    <n v="-16667"/>
    <x v="2"/>
  </r>
  <r>
    <x v="1"/>
    <x v="5"/>
    <x v="31"/>
    <n v="0"/>
    <x v="2"/>
  </r>
  <r>
    <x v="1"/>
    <x v="5"/>
    <x v="32"/>
    <n v="0"/>
    <x v="2"/>
  </r>
  <r>
    <x v="1"/>
    <x v="5"/>
    <x v="33"/>
    <n v="-16667"/>
    <x v="2"/>
  </r>
  <r>
    <x v="1"/>
    <x v="6"/>
    <x v="3"/>
    <n v="-3000"/>
    <x v="0"/>
  </r>
  <r>
    <x v="1"/>
    <x v="6"/>
    <x v="6"/>
    <n v="-3000"/>
    <x v="0"/>
  </r>
  <r>
    <x v="1"/>
    <x v="7"/>
    <x v="12"/>
    <n v="-3000"/>
    <x v="1"/>
  </r>
  <r>
    <x v="2"/>
    <x v="8"/>
    <x v="0"/>
    <n v="-50"/>
    <x v="0"/>
  </r>
  <r>
    <x v="2"/>
    <x v="8"/>
    <x v="1"/>
    <n v="-50"/>
    <x v="0"/>
  </r>
  <r>
    <x v="2"/>
    <x v="8"/>
    <x v="2"/>
    <n v="-50"/>
    <x v="0"/>
  </r>
  <r>
    <x v="2"/>
    <x v="8"/>
    <x v="3"/>
    <n v="-50"/>
    <x v="0"/>
  </r>
  <r>
    <x v="2"/>
    <x v="8"/>
    <x v="4"/>
    <n v="-50"/>
    <x v="0"/>
  </r>
  <r>
    <x v="2"/>
    <x v="8"/>
    <x v="5"/>
    <n v="-50"/>
    <x v="0"/>
  </r>
  <r>
    <x v="2"/>
    <x v="8"/>
    <x v="6"/>
    <n v="-50"/>
    <x v="0"/>
  </r>
  <r>
    <x v="2"/>
    <x v="8"/>
    <x v="7"/>
    <n v="-50"/>
    <x v="0"/>
  </r>
  <r>
    <x v="2"/>
    <x v="8"/>
    <x v="8"/>
    <n v="-50"/>
    <x v="0"/>
  </r>
  <r>
    <x v="2"/>
    <x v="8"/>
    <x v="9"/>
    <n v="-50"/>
    <x v="0"/>
  </r>
  <r>
    <x v="2"/>
    <x v="8"/>
    <x v="10"/>
    <n v="-50"/>
    <x v="0"/>
  </r>
  <r>
    <x v="2"/>
    <x v="8"/>
    <x v="11"/>
    <n v="-50"/>
    <x v="0"/>
  </r>
  <r>
    <x v="2"/>
    <x v="8"/>
    <x v="12"/>
    <n v="-100"/>
    <x v="1"/>
  </r>
  <r>
    <x v="2"/>
    <x v="8"/>
    <x v="13"/>
    <n v="-100"/>
    <x v="1"/>
  </r>
  <r>
    <x v="2"/>
    <x v="8"/>
    <x v="14"/>
    <n v="-100"/>
    <x v="1"/>
  </r>
  <r>
    <x v="2"/>
    <x v="8"/>
    <x v="15"/>
    <n v="-100"/>
    <x v="1"/>
  </r>
  <r>
    <x v="2"/>
    <x v="8"/>
    <x v="16"/>
    <n v="-100"/>
    <x v="1"/>
  </r>
  <r>
    <x v="2"/>
    <x v="8"/>
    <x v="17"/>
    <n v="-100"/>
    <x v="1"/>
  </r>
  <r>
    <x v="2"/>
    <x v="8"/>
    <x v="18"/>
    <n v="-100"/>
    <x v="1"/>
  </r>
  <r>
    <x v="2"/>
    <x v="8"/>
    <x v="19"/>
    <n v="-100"/>
    <x v="1"/>
  </r>
  <r>
    <x v="2"/>
    <x v="8"/>
    <x v="20"/>
    <n v="-100"/>
    <x v="1"/>
  </r>
  <r>
    <x v="2"/>
    <x v="8"/>
    <x v="21"/>
    <n v="-100"/>
    <x v="1"/>
  </r>
  <r>
    <x v="2"/>
    <x v="8"/>
    <x v="22"/>
    <n v="-100"/>
    <x v="1"/>
  </r>
  <r>
    <x v="2"/>
    <x v="8"/>
    <x v="23"/>
    <n v="-100"/>
    <x v="1"/>
  </r>
  <r>
    <x v="2"/>
    <x v="8"/>
    <x v="24"/>
    <n v="-200"/>
    <x v="2"/>
  </r>
  <r>
    <x v="2"/>
    <x v="8"/>
    <x v="25"/>
    <n v="-200"/>
    <x v="2"/>
  </r>
  <r>
    <x v="2"/>
    <x v="8"/>
    <x v="26"/>
    <n v="-200"/>
    <x v="2"/>
  </r>
  <r>
    <x v="2"/>
    <x v="8"/>
    <x v="27"/>
    <n v="-200"/>
    <x v="2"/>
  </r>
  <r>
    <x v="2"/>
    <x v="8"/>
    <x v="28"/>
    <n v="-200"/>
    <x v="2"/>
  </r>
  <r>
    <x v="2"/>
    <x v="8"/>
    <x v="29"/>
    <n v="-200"/>
    <x v="2"/>
  </r>
  <r>
    <x v="2"/>
    <x v="8"/>
    <x v="30"/>
    <n v="-200"/>
    <x v="2"/>
  </r>
  <r>
    <x v="2"/>
    <x v="8"/>
    <x v="31"/>
    <n v="-200"/>
    <x v="2"/>
  </r>
  <r>
    <x v="2"/>
    <x v="8"/>
    <x v="32"/>
    <n v="-200"/>
    <x v="2"/>
  </r>
  <r>
    <x v="2"/>
    <x v="8"/>
    <x v="33"/>
    <n v="-200"/>
    <x v="2"/>
  </r>
  <r>
    <x v="2"/>
    <x v="8"/>
    <x v="34"/>
    <n v="-200"/>
    <x v="2"/>
  </r>
  <r>
    <x v="2"/>
    <x v="8"/>
    <x v="35"/>
    <n v="-200"/>
    <x v="2"/>
  </r>
  <r>
    <x v="2"/>
    <x v="9"/>
    <x v="0"/>
    <n v="-1500"/>
    <x v="0"/>
  </r>
  <r>
    <x v="2"/>
    <x v="9"/>
    <x v="1"/>
    <n v="-1500"/>
    <x v="0"/>
  </r>
  <r>
    <x v="2"/>
    <x v="9"/>
    <x v="2"/>
    <n v="-1500"/>
    <x v="0"/>
  </r>
  <r>
    <x v="2"/>
    <x v="9"/>
    <x v="3"/>
    <n v="-1500"/>
    <x v="0"/>
  </r>
  <r>
    <x v="2"/>
    <x v="9"/>
    <x v="4"/>
    <n v="-1500"/>
    <x v="0"/>
  </r>
  <r>
    <x v="2"/>
    <x v="9"/>
    <x v="5"/>
    <n v="-1500"/>
    <x v="0"/>
  </r>
  <r>
    <x v="2"/>
    <x v="9"/>
    <x v="6"/>
    <n v="-1500"/>
    <x v="0"/>
  </r>
  <r>
    <x v="2"/>
    <x v="9"/>
    <x v="7"/>
    <n v="-1500"/>
    <x v="0"/>
  </r>
  <r>
    <x v="2"/>
    <x v="9"/>
    <x v="8"/>
    <n v="-1500"/>
    <x v="0"/>
  </r>
  <r>
    <x v="2"/>
    <x v="9"/>
    <x v="9"/>
    <n v="-1500"/>
    <x v="0"/>
  </r>
  <r>
    <x v="2"/>
    <x v="9"/>
    <x v="10"/>
    <n v="-1500"/>
    <x v="0"/>
  </r>
  <r>
    <x v="2"/>
    <x v="9"/>
    <x v="11"/>
    <n v="-1500"/>
    <x v="0"/>
  </r>
  <r>
    <x v="2"/>
    <x v="9"/>
    <x v="12"/>
    <n v="-4425"/>
    <x v="1"/>
  </r>
  <r>
    <x v="2"/>
    <x v="9"/>
    <x v="13"/>
    <n v="-4425"/>
    <x v="1"/>
  </r>
  <r>
    <x v="2"/>
    <x v="9"/>
    <x v="14"/>
    <n v="-4425"/>
    <x v="1"/>
  </r>
  <r>
    <x v="2"/>
    <x v="9"/>
    <x v="15"/>
    <n v="-4425"/>
    <x v="1"/>
  </r>
  <r>
    <x v="2"/>
    <x v="9"/>
    <x v="16"/>
    <n v="-4425"/>
    <x v="1"/>
  </r>
  <r>
    <x v="2"/>
    <x v="9"/>
    <x v="17"/>
    <n v="-4425"/>
    <x v="1"/>
  </r>
  <r>
    <x v="2"/>
    <x v="9"/>
    <x v="18"/>
    <n v="-4425"/>
    <x v="1"/>
  </r>
  <r>
    <x v="2"/>
    <x v="9"/>
    <x v="19"/>
    <n v="-4425"/>
    <x v="1"/>
  </r>
  <r>
    <x v="2"/>
    <x v="9"/>
    <x v="20"/>
    <n v="-4425"/>
    <x v="1"/>
  </r>
  <r>
    <x v="2"/>
    <x v="9"/>
    <x v="21"/>
    <n v="-4425"/>
    <x v="1"/>
  </r>
  <r>
    <x v="2"/>
    <x v="9"/>
    <x v="22"/>
    <n v="-4425"/>
    <x v="1"/>
  </r>
  <r>
    <x v="2"/>
    <x v="9"/>
    <x v="23"/>
    <n v="-4425"/>
    <x v="1"/>
  </r>
  <r>
    <x v="2"/>
    <x v="9"/>
    <x v="24"/>
    <n v="-4425"/>
    <x v="2"/>
  </r>
  <r>
    <x v="2"/>
    <x v="9"/>
    <x v="25"/>
    <n v="-4425"/>
    <x v="2"/>
  </r>
  <r>
    <x v="2"/>
    <x v="9"/>
    <x v="26"/>
    <n v="-4425"/>
    <x v="2"/>
  </r>
  <r>
    <x v="2"/>
    <x v="9"/>
    <x v="27"/>
    <n v="-4425"/>
    <x v="2"/>
  </r>
  <r>
    <x v="2"/>
    <x v="9"/>
    <x v="28"/>
    <n v="-4425"/>
    <x v="2"/>
  </r>
  <r>
    <x v="2"/>
    <x v="9"/>
    <x v="29"/>
    <n v="-4425"/>
    <x v="2"/>
  </r>
  <r>
    <x v="2"/>
    <x v="9"/>
    <x v="30"/>
    <n v="-4425"/>
    <x v="2"/>
  </r>
  <r>
    <x v="2"/>
    <x v="9"/>
    <x v="31"/>
    <n v="-4425"/>
    <x v="2"/>
  </r>
  <r>
    <x v="2"/>
    <x v="9"/>
    <x v="32"/>
    <n v="-4425"/>
    <x v="2"/>
  </r>
  <r>
    <x v="2"/>
    <x v="9"/>
    <x v="33"/>
    <n v="-4425"/>
    <x v="2"/>
  </r>
  <r>
    <x v="2"/>
    <x v="9"/>
    <x v="34"/>
    <n v="-4425"/>
    <x v="2"/>
  </r>
  <r>
    <x v="2"/>
    <x v="9"/>
    <x v="35"/>
    <n v="-4425"/>
    <x v="2"/>
  </r>
  <r>
    <x v="2"/>
    <x v="10"/>
    <x v="0"/>
    <n v="0"/>
    <x v="0"/>
  </r>
  <r>
    <x v="2"/>
    <x v="10"/>
    <x v="1"/>
    <n v="0"/>
    <x v="0"/>
  </r>
  <r>
    <x v="2"/>
    <x v="10"/>
    <x v="2"/>
    <n v="0"/>
    <x v="0"/>
  </r>
  <r>
    <x v="2"/>
    <x v="10"/>
    <x v="3"/>
    <n v="0"/>
    <x v="0"/>
  </r>
  <r>
    <x v="2"/>
    <x v="10"/>
    <x v="4"/>
    <n v="0"/>
    <x v="0"/>
  </r>
  <r>
    <x v="2"/>
    <x v="10"/>
    <x v="5"/>
    <n v="0"/>
    <x v="0"/>
  </r>
  <r>
    <x v="2"/>
    <x v="10"/>
    <x v="6"/>
    <n v="0"/>
    <x v="0"/>
  </r>
  <r>
    <x v="2"/>
    <x v="10"/>
    <x v="7"/>
    <n v="0"/>
    <x v="0"/>
  </r>
  <r>
    <x v="2"/>
    <x v="10"/>
    <x v="8"/>
    <n v="0"/>
    <x v="0"/>
  </r>
  <r>
    <x v="2"/>
    <x v="10"/>
    <x v="9"/>
    <n v="0"/>
    <x v="0"/>
  </r>
  <r>
    <x v="2"/>
    <x v="10"/>
    <x v="10"/>
    <n v="0"/>
    <x v="0"/>
  </r>
  <r>
    <x v="2"/>
    <x v="10"/>
    <x v="11"/>
    <n v="0"/>
    <x v="0"/>
  </r>
  <r>
    <x v="2"/>
    <x v="10"/>
    <x v="12"/>
    <n v="0"/>
    <x v="1"/>
  </r>
  <r>
    <x v="2"/>
    <x v="10"/>
    <x v="13"/>
    <n v="0"/>
    <x v="1"/>
  </r>
  <r>
    <x v="2"/>
    <x v="10"/>
    <x v="14"/>
    <n v="0"/>
    <x v="1"/>
  </r>
  <r>
    <x v="2"/>
    <x v="10"/>
    <x v="15"/>
    <n v="0"/>
    <x v="1"/>
  </r>
  <r>
    <x v="2"/>
    <x v="10"/>
    <x v="16"/>
    <n v="0"/>
    <x v="1"/>
  </r>
  <r>
    <x v="2"/>
    <x v="10"/>
    <x v="17"/>
    <n v="0"/>
    <x v="1"/>
  </r>
  <r>
    <x v="2"/>
    <x v="10"/>
    <x v="18"/>
    <n v="0"/>
    <x v="1"/>
  </r>
  <r>
    <x v="2"/>
    <x v="10"/>
    <x v="19"/>
    <n v="0"/>
    <x v="1"/>
  </r>
  <r>
    <x v="2"/>
    <x v="10"/>
    <x v="20"/>
    <n v="0"/>
    <x v="1"/>
  </r>
  <r>
    <x v="2"/>
    <x v="10"/>
    <x v="21"/>
    <n v="0"/>
    <x v="1"/>
  </r>
  <r>
    <x v="2"/>
    <x v="10"/>
    <x v="22"/>
    <n v="0"/>
    <x v="1"/>
  </r>
  <r>
    <x v="2"/>
    <x v="10"/>
    <x v="23"/>
    <n v="0"/>
    <x v="1"/>
  </r>
  <r>
    <x v="2"/>
    <x v="10"/>
    <x v="24"/>
    <n v="-800"/>
    <x v="2"/>
  </r>
  <r>
    <x v="2"/>
    <x v="10"/>
    <x v="25"/>
    <n v="-800"/>
    <x v="2"/>
  </r>
  <r>
    <x v="2"/>
    <x v="10"/>
    <x v="26"/>
    <n v="-800"/>
    <x v="2"/>
  </r>
  <r>
    <x v="2"/>
    <x v="10"/>
    <x v="27"/>
    <n v="-800"/>
    <x v="2"/>
  </r>
  <r>
    <x v="2"/>
    <x v="10"/>
    <x v="28"/>
    <n v="-800"/>
    <x v="2"/>
  </r>
  <r>
    <x v="2"/>
    <x v="10"/>
    <x v="29"/>
    <n v="-800"/>
    <x v="2"/>
  </r>
  <r>
    <x v="2"/>
    <x v="10"/>
    <x v="30"/>
    <n v="-800"/>
    <x v="2"/>
  </r>
  <r>
    <x v="2"/>
    <x v="10"/>
    <x v="31"/>
    <n v="-800"/>
    <x v="2"/>
  </r>
  <r>
    <x v="2"/>
    <x v="10"/>
    <x v="32"/>
    <n v="-800"/>
    <x v="2"/>
  </r>
  <r>
    <x v="2"/>
    <x v="10"/>
    <x v="33"/>
    <n v="-800"/>
    <x v="2"/>
  </r>
  <r>
    <x v="2"/>
    <x v="10"/>
    <x v="34"/>
    <n v="-800"/>
    <x v="2"/>
  </r>
  <r>
    <x v="2"/>
    <x v="10"/>
    <x v="35"/>
    <n v="-800"/>
    <x v="2"/>
  </r>
  <r>
    <x v="2"/>
    <x v="11"/>
    <x v="0"/>
    <n v="0"/>
    <x v="0"/>
  </r>
  <r>
    <x v="2"/>
    <x v="11"/>
    <x v="1"/>
    <n v="0"/>
    <x v="0"/>
  </r>
  <r>
    <x v="2"/>
    <x v="11"/>
    <x v="2"/>
    <n v="0"/>
    <x v="0"/>
  </r>
  <r>
    <x v="2"/>
    <x v="11"/>
    <x v="3"/>
    <n v="-145"/>
    <x v="0"/>
  </r>
  <r>
    <x v="2"/>
    <x v="11"/>
    <x v="4"/>
    <n v="-120"/>
    <x v="0"/>
  </r>
  <r>
    <x v="2"/>
    <x v="11"/>
    <x v="5"/>
    <n v="-120"/>
    <x v="0"/>
  </r>
  <r>
    <x v="2"/>
    <x v="11"/>
    <x v="6"/>
    <n v="-254"/>
    <x v="0"/>
  </r>
  <r>
    <x v="2"/>
    <x v="11"/>
    <x v="7"/>
    <n v="-36"/>
    <x v="0"/>
  </r>
  <r>
    <x v="2"/>
    <x v="11"/>
    <x v="8"/>
    <n v="-126"/>
    <x v="0"/>
  </r>
  <r>
    <x v="2"/>
    <x v="11"/>
    <x v="9"/>
    <n v="-254"/>
    <x v="0"/>
  </r>
  <r>
    <x v="2"/>
    <x v="11"/>
    <x v="10"/>
    <n v="-126"/>
    <x v="0"/>
  </r>
  <r>
    <x v="2"/>
    <x v="11"/>
    <x v="11"/>
    <n v="-36"/>
    <x v="0"/>
  </r>
  <r>
    <x v="2"/>
    <x v="11"/>
    <x v="12"/>
    <n v="-344"/>
    <x v="1"/>
  </r>
  <r>
    <x v="2"/>
    <x v="11"/>
    <x v="13"/>
    <n v="-144"/>
    <x v="1"/>
  </r>
  <r>
    <x v="2"/>
    <x v="11"/>
    <x v="14"/>
    <n v="-144"/>
    <x v="1"/>
  </r>
  <r>
    <x v="2"/>
    <x v="11"/>
    <x v="15"/>
    <n v="-344"/>
    <x v="1"/>
  </r>
  <r>
    <x v="2"/>
    <x v="11"/>
    <x v="16"/>
    <n v="-144"/>
    <x v="1"/>
  </r>
  <r>
    <x v="2"/>
    <x v="11"/>
    <x v="17"/>
    <n v="-144"/>
    <x v="1"/>
  </r>
  <r>
    <x v="2"/>
    <x v="11"/>
    <x v="18"/>
    <n v="-200"/>
    <x v="1"/>
  </r>
  <r>
    <x v="2"/>
    <x v="11"/>
    <x v="19"/>
    <n v="-144"/>
    <x v="1"/>
  </r>
  <r>
    <x v="2"/>
    <x v="11"/>
    <x v="20"/>
    <n v="-144"/>
    <x v="1"/>
  </r>
  <r>
    <x v="2"/>
    <x v="11"/>
    <x v="21"/>
    <n v="-344"/>
    <x v="1"/>
  </r>
  <r>
    <x v="2"/>
    <x v="11"/>
    <x v="22"/>
    <n v="-144"/>
    <x v="1"/>
  </r>
  <r>
    <x v="2"/>
    <x v="11"/>
    <x v="23"/>
    <n v="0"/>
    <x v="1"/>
  </r>
  <r>
    <x v="2"/>
    <x v="11"/>
    <x v="24"/>
    <n v="-609"/>
    <x v="2"/>
  </r>
  <r>
    <x v="2"/>
    <x v="11"/>
    <x v="25"/>
    <n v="-204"/>
    <x v="2"/>
  </r>
  <r>
    <x v="2"/>
    <x v="11"/>
    <x v="26"/>
    <n v="-204"/>
    <x v="2"/>
  </r>
  <r>
    <x v="2"/>
    <x v="11"/>
    <x v="27"/>
    <n v="-609"/>
    <x v="2"/>
  </r>
  <r>
    <x v="2"/>
    <x v="11"/>
    <x v="28"/>
    <n v="-204"/>
    <x v="2"/>
  </r>
  <r>
    <x v="2"/>
    <x v="11"/>
    <x v="29"/>
    <n v="-204"/>
    <x v="2"/>
  </r>
  <r>
    <x v="2"/>
    <x v="11"/>
    <x v="30"/>
    <n v="-609"/>
    <x v="2"/>
  </r>
  <r>
    <x v="2"/>
    <x v="11"/>
    <x v="31"/>
    <n v="-60"/>
    <x v="2"/>
  </r>
  <r>
    <x v="2"/>
    <x v="11"/>
    <x v="32"/>
    <n v="-204"/>
    <x v="2"/>
  </r>
  <r>
    <x v="2"/>
    <x v="11"/>
    <x v="33"/>
    <n v="-609"/>
    <x v="2"/>
  </r>
  <r>
    <x v="2"/>
    <x v="11"/>
    <x v="34"/>
    <n v="-204"/>
    <x v="2"/>
  </r>
  <r>
    <x v="2"/>
    <x v="11"/>
    <x v="35"/>
    <n v="-60"/>
    <x v="2"/>
  </r>
  <r>
    <x v="2"/>
    <x v="12"/>
    <x v="0"/>
    <n v="-100"/>
    <x v="0"/>
  </r>
  <r>
    <x v="2"/>
    <x v="12"/>
    <x v="1"/>
    <n v="-100"/>
    <x v="0"/>
  </r>
  <r>
    <x v="2"/>
    <x v="12"/>
    <x v="2"/>
    <n v="-100"/>
    <x v="0"/>
  </r>
  <r>
    <x v="2"/>
    <x v="12"/>
    <x v="3"/>
    <n v="-100"/>
    <x v="0"/>
  </r>
  <r>
    <x v="2"/>
    <x v="12"/>
    <x v="4"/>
    <n v="-100"/>
    <x v="0"/>
  </r>
  <r>
    <x v="2"/>
    <x v="12"/>
    <x v="5"/>
    <n v="-100"/>
    <x v="0"/>
  </r>
  <r>
    <x v="2"/>
    <x v="12"/>
    <x v="6"/>
    <n v="-100"/>
    <x v="0"/>
  </r>
  <r>
    <x v="2"/>
    <x v="12"/>
    <x v="7"/>
    <n v="-100"/>
    <x v="0"/>
  </r>
  <r>
    <x v="2"/>
    <x v="12"/>
    <x v="8"/>
    <n v="-100"/>
    <x v="0"/>
  </r>
  <r>
    <x v="2"/>
    <x v="12"/>
    <x v="9"/>
    <n v="-100"/>
    <x v="0"/>
  </r>
  <r>
    <x v="2"/>
    <x v="12"/>
    <x v="10"/>
    <n v="-100"/>
    <x v="0"/>
  </r>
  <r>
    <x v="2"/>
    <x v="12"/>
    <x v="11"/>
    <n v="-100"/>
    <x v="0"/>
  </r>
  <r>
    <x v="2"/>
    <x v="12"/>
    <x v="12"/>
    <n v="-320"/>
    <x v="1"/>
  </r>
  <r>
    <x v="2"/>
    <x v="12"/>
    <x v="13"/>
    <n v="-320"/>
    <x v="1"/>
  </r>
  <r>
    <x v="2"/>
    <x v="12"/>
    <x v="14"/>
    <n v="-320"/>
    <x v="1"/>
  </r>
  <r>
    <x v="2"/>
    <x v="12"/>
    <x v="15"/>
    <n v="-320"/>
    <x v="1"/>
  </r>
  <r>
    <x v="2"/>
    <x v="12"/>
    <x v="16"/>
    <n v="-320"/>
    <x v="1"/>
  </r>
  <r>
    <x v="2"/>
    <x v="12"/>
    <x v="17"/>
    <n v="-320"/>
    <x v="1"/>
  </r>
  <r>
    <x v="2"/>
    <x v="12"/>
    <x v="18"/>
    <n v="-320"/>
    <x v="1"/>
  </r>
  <r>
    <x v="2"/>
    <x v="12"/>
    <x v="19"/>
    <n v="-320"/>
    <x v="1"/>
  </r>
  <r>
    <x v="2"/>
    <x v="12"/>
    <x v="20"/>
    <n v="-320"/>
    <x v="1"/>
  </r>
  <r>
    <x v="2"/>
    <x v="12"/>
    <x v="21"/>
    <n v="-320"/>
    <x v="1"/>
  </r>
  <r>
    <x v="2"/>
    <x v="12"/>
    <x v="22"/>
    <n v="-320"/>
    <x v="1"/>
  </r>
  <r>
    <x v="2"/>
    <x v="12"/>
    <x v="23"/>
    <n v="-320"/>
    <x v="1"/>
  </r>
  <r>
    <x v="2"/>
    <x v="12"/>
    <x v="24"/>
    <n v="-320"/>
    <x v="2"/>
  </r>
  <r>
    <x v="2"/>
    <x v="12"/>
    <x v="25"/>
    <n v="-320"/>
    <x v="2"/>
  </r>
  <r>
    <x v="2"/>
    <x v="12"/>
    <x v="26"/>
    <n v="-320"/>
    <x v="2"/>
  </r>
  <r>
    <x v="2"/>
    <x v="12"/>
    <x v="27"/>
    <n v="-320"/>
    <x v="2"/>
  </r>
  <r>
    <x v="2"/>
    <x v="12"/>
    <x v="28"/>
    <n v="-320"/>
    <x v="2"/>
  </r>
  <r>
    <x v="2"/>
    <x v="12"/>
    <x v="29"/>
    <n v="-320"/>
    <x v="2"/>
  </r>
  <r>
    <x v="2"/>
    <x v="12"/>
    <x v="30"/>
    <n v="-320"/>
    <x v="2"/>
  </r>
  <r>
    <x v="2"/>
    <x v="12"/>
    <x v="31"/>
    <n v="-320"/>
    <x v="2"/>
  </r>
  <r>
    <x v="2"/>
    <x v="12"/>
    <x v="32"/>
    <n v="-320"/>
    <x v="2"/>
  </r>
  <r>
    <x v="2"/>
    <x v="12"/>
    <x v="33"/>
    <n v="-320"/>
    <x v="2"/>
  </r>
  <r>
    <x v="2"/>
    <x v="12"/>
    <x v="34"/>
    <n v="-320"/>
    <x v="2"/>
  </r>
  <r>
    <x v="2"/>
    <x v="12"/>
    <x v="35"/>
    <n v="-320"/>
    <x v="2"/>
  </r>
  <r>
    <x v="3"/>
    <x v="13"/>
    <x v="0"/>
    <n v="-67"/>
    <x v="0"/>
  </r>
  <r>
    <x v="3"/>
    <x v="13"/>
    <x v="1"/>
    <n v="-67"/>
    <x v="0"/>
  </r>
  <r>
    <x v="3"/>
    <x v="13"/>
    <x v="2"/>
    <n v="-67"/>
    <x v="0"/>
  </r>
  <r>
    <x v="3"/>
    <x v="13"/>
    <x v="3"/>
    <n v="-67"/>
    <x v="0"/>
  </r>
  <r>
    <x v="3"/>
    <x v="13"/>
    <x v="4"/>
    <n v="-67"/>
    <x v="0"/>
  </r>
  <r>
    <x v="3"/>
    <x v="13"/>
    <x v="5"/>
    <n v="-67"/>
    <x v="0"/>
  </r>
  <r>
    <x v="3"/>
    <x v="13"/>
    <x v="6"/>
    <n v="-67"/>
    <x v="0"/>
  </r>
  <r>
    <x v="3"/>
    <x v="13"/>
    <x v="7"/>
    <n v="-67"/>
    <x v="0"/>
  </r>
  <r>
    <x v="3"/>
    <x v="13"/>
    <x v="8"/>
    <n v="-67"/>
    <x v="0"/>
  </r>
  <r>
    <x v="3"/>
    <x v="13"/>
    <x v="9"/>
    <n v="-67"/>
    <x v="0"/>
  </r>
  <r>
    <x v="3"/>
    <x v="13"/>
    <x v="10"/>
    <n v="-67"/>
    <x v="0"/>
  </r>
  <r>
    <x v="3"/>
    <x v="13"/>
    <x v="11"/>
    <n v="-67"/>
    <x v="0"/>
  </r>
  <r>
    <x v="3"/>
    <x v="13"/>
    <x v="12"/>
    <n v="-67"/>
    <x v="1"/>
  </r>
  <r>
    <x v="3"/>
    <x v="13"/>
    <x v="13"/>
    <n v="-67"/>
    <x v="1"/>
  </r>
  <r>
    <x v="3"/>
    <x v="13"/>
    <x v="14"/>
    <n v="-67"/>
    <x v="1"/>
  </r>
  <r>
    <x v="3"/>
    <x v="13"/>
    <x v="15"/>
    <n v="-67"/>
    <x v="1"/>
  </r>
  <r>
    <x v="3"/>
    <x v="13"/>
    <x v="16"/>
    <n v="-67"/>
    <x v="1"/>
  </r>
  <r>
    <x v="3"/>
    <x v="13"/>
    <x v="17"/>
    <n v="-67"/>
    <x v="1"/>
  </r>
  <r>
    <x v="3"/>
    <x v="13"/>
    <x v="18"/>
    <n v="-67"/>
    <x v="1"/>
  </r>
  <r>
    <x v="3"/>
    <x v="13"/>
    <x v="19"/>
    <n v="-67"/>
    <x v="1"/>
  </r>
  <r>
    <x v="3"/>
    <x v="13"/>
    <x v="20"/>
    <n v="-67"/>
    <x v="1"/>
  </r>
  <r>
    <x v="3"/>
    <x v="13"/>
    <x v="21"/>
    <n v="-67"/>
    <x v="1"/>
  </r>
  <r>
    <x v="3"/>
    <x v="13"/>
    <x v="22"/>
    <n v="-67"/>
    <x v="1"/>
  </r>
  <r>
    <x v="3"/>
    <x v="13"/>
    <x v="23"/>
    <n v="-67"/>
    <x v="1"/>
  </r>
  <r>
    <x v="3"/>
    <x v="13"/>
    <x v="24"/>
    <n v="-67"/>
    <x v="2"/>
  </r>
  <r>
    <x v="3"/>
    <x v="13"/>
    <x v="25"/>
    <n v="-67"/>
    <x v="2"/>
  </r>
  <r>
    <x v="3"/>
    <x v="13"/>
    <x v="26"/>
    <n v="-67"/>
    <x v="2"/>
  </r>
  <r>
    <x v="3"/>
    <x v="13"/>
    <x v="27"/>
    <n v="-67"/>
    <x v="2"/>
  </r>
  <r>
    <x v="3"/>
    <x v="13"/>
    <x v="28"/>
    <n v="-67"/>
    <x v="2"/>
  </r>
  <r>
    <x v="3"/>
    <x v="13"/>
    <x v="29"/>
    <n v="-67"/>
    <x v="2"/>
  </r>
  <r>
    <x v="3"/>
    <x v="13"/>
    <x v="30"/>
    <n v="-67"/>
    <x v="2"/>
  </r>
  <r>
    <x v="3"/>
    <x v="13"/>
    <x v="31"/>
    <n v="-67"/>
    <x v="2"/>
  </r>
  <r>
    <x v="3"/>
    <x v="13"/>
    <x v="32"/>
    <n v="-67"/>
    <x v="2"/>
  </r>
  <r>
    <x v="3"/>
    <x v="13"/>
    <x v="33"/>
    <n v="-67"/>
    <x v="2"/>
  </r>
  <r>
    <x v="3"/>
    <x v="13"/>
    <x v="34"/>
    <n v="-67"/>
    <x v="2"/>
  </r>
  <r>
    <x v="3"/>
    <x v="13"/>
    <x v="35"/>
    <n v="-67"/>
    <x v="2"/>
  </r>
  <r>
    <x v="3"/>
    <x v="14"/>
    <x v="0"/>
    <n v="0"/>
    <x v="0"/>
  </r>
  <r>
    <x v="3"/>
    <x v="14"/>
    <x v="1"/>
    <n v="0"/>
    <x v="0"/>
  </r>
  <r>
    <x v="3"/>
    <x v="14"/>
    <x v="2"/>
    <n v="0"/>
    <x v="0"/>
  </r>
  <r>
    <x v="3"/>
    <x v="14"/>
    <x v="3"/>
    <n v="0"/>
    <x v="0"/>
  </r>
  <r>
    <x v="3"/>
    <x v="14"/>
    <x v="4"/>
    <n v="0"/>
    <x v="0"/>
  </r>
  <r>
    <x v="3"/>
    <x v="14"/>
    <x v="5"/>
    <n v="0"/>
    <x v="0"/>
  </r>
  <r>
    <x v="3"/>
    <x v="14"/>
    <x v="6"/>
    <n v="-50"/>
    <x v="0"/>
  </r>
  <r>
    <x v="3"/>
    <x v="14"/>
    <x v="7"/>
    <n v="-50"/>
    <x v="0"/>
  </r>
  <r>
    <x v="3"/>
    <x v="14"/>
    <x v="8"/>
    <n v="-50"/>
    <x v="0"/>
  </r>
  <r>
    <x v="3"/>
    <x v="14"/>
    <x v="9"/>
    <n v="-50"/>
    <x v="0"/>
  </r>
  <r>
    <x v="3"/>
    <x v="14"/>
    <x v="10"/>
    <n v="-50"/>
    <x v="0"/>
  </r>
  <r>
    <x v="3"/>
    <x v="14"/>
    <x v="11"/>
    <n v="-50"/>
    <x v="0"/>
  </r>
  <r>
    <x v="3"/>
    <x v="14"/>
    <x v="12"/>
    <n v="-100"/>
    <x v="1"/>
  </r>
  <r>
    <x v="3"/>
    <x v="14"/>
    <x v="13"/>
    <n v="-100"/>
    <x v="1"/>
  </r>
  <r>
    <x v="3"/>
    <x v="14"/>
    <x v="14"/>
    <n v="-100"/>
    <x v="1"/>
  </r>
  <r>
    <x v="3"/>
    <x v="14"/>
    <x v="15"/>
    <n v="-100"/>
    <x v="1"/>
  </r>
  <r>
    <x v="3"/>
    <x v="14"/>
    <x v="16"/>
    <n v="-100"/>
    <x v="1"/>
  </r>
  <r>
    <x v="3"/>
    <x v="14"/>
    <x v="17"/>
    <n v="-100"/>
    <x v="1"/>
  </r>
  <r>
    <x v="3"/>
    <x v="14"/>
    <x v="18"/>
    <n v="-100"/>
    <x v="1"/>
  </r>
  <r>
    <x v="3"/>
    <x v="14"/>
    <x v="19"/>
    <n v="-100"/>
    <x v="1"/>
  </r>
  <r>
    <x v="3"/>
    <x v="14"/>
    <x v="20"/>
    <n v="-100"/>
    <x v="1"/>
  </r>
  <r>
    <x v="3"/>
    <x v="14"/>
    <x v="21"/>
    <n v="-100"/>
    <x v="1"/>
  </r>
  <r>
    <x v="3"/>
    <x v="14"/>
    <x v="22"/>
    <n v="-100"/>
    <x v="1"/>
  </r>
  <r>
    <x v="3"/>
    <x v="14"/>
    <x v="23"/>
    <n v="-100"/>
    <x v="1"/>
  </r>
  <r>
    <x v="3"/>
    <x v="14"/>
    <x v="24"/>
    <n v="-100"/>
    <x v="2"/>
  </r>
  <r>
    <x v="3"/>
    <x v="14"/>
    <x v="25"/>
    <n v="-100"/>
    <x v="2"/>
  </r>
  <r>
    <x v="3"/>
    <x v="14"/>
    <x v="26"/>
    <n v="-100"/>
    <x v="2"/>
  </r>
  <r>
    <x v="3"/>
    <x v="14"/>
    <x v="27"/>
    <n v="-100"/>
    <x v="2"/>
  </r>
  <r>
    <x v="3"/>
    <x v="14"/>
    <x v="28"/>
    <n v="-100"/>
    <x v="2"/>
  </r>
  <r>
    <x v="3"/>
    <x v="14"/>
    <x v="29"/>
    <n v="-100"/>
    <x v="2"/>
  </r>
  <r>
    <x v="3"/>
    <x v="14"/>
    <x v="30"/>
    <n v="-100"/>
    <x v="2"/>
  </r>
  <r>
    <x v="3"/>
    <x v="14"/>
    <x v="31"/>
    <n v="-100"/>
    <x v="2"/>
  </r>
  <r>
    <x v="3"/>
    <x v="14"/>
    <x v="32"/>
    <n v="-100"/>
    <x v="2"/>
  </r>
  <r>
    <x v="3"/>
    <x v="14"/>
    <x v="33"/>
    <n v="-100"/>
    <x v="2"/>
  </r>
  <r>
    <x v="3"/>
    <x v="14"/>
    <x v="34"/>
    <n v="-100"/>
    <x v="2"/>
  </r>
  <r>
    <x v="3"/>
    <x v="14"/>
    <x v="35"/>
    <n v="-1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7EAF5-3D08-4076-B2A8-0D3E2B74B140}" name="TablaDinámica4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0">
  <location ref="A45:B82" firstHeaderRow="1" firstDataRow="1" firstDataCol="1"/>
  <pivotFields count="5">
    <pivotField showAll="0"/>
    <pivotField showAll="0" sortType="descending">
      <items count="19">
        <item x="0"/>
        <item x="10"/>
        <item m="1" x="17"/>
        <item m="1" x="16"/>
        <item x="14"/>
        <item x="13"/>
        <item x="8"/>
        <item x="11"/>
        <item x="9"/>
        <item x="7"/>
        <item x="1"/>
        <item x="3"/>
        <item x="6"/>
        <item x="5"/>
        <item m="1" x="15"/>
        <item x="2"/>
        <item x="1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dataField="1" showAll="0"/>
    <pivotField showAll="0">
      <items count="4">
        <item x="0"/>
        <item x="1"/>
        <item x="2"/>
        <item t="default"/>
      </items>
    </pivotField>
  </pivotFields>
  <rowFields count="1">
    <field x="2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a de Valor" fld="3" showDataAs="runTotal" baseField="2" baseItem="0" numFmtId="3"/>
  </dataFields>
  <formats count="3">
    <format dxfId="107">
      <pivotArea field="4" type="button" dataOnly="0" labelOnly="1" outline="0"/>
    </format>
    <format dxfId="106">
      <pivotArea field="2" type="button" dataOnly="0" labelOnly="1" outline="0" axis="axisRow" fieldPosition="0"/>
    </format>
    <format dxfId="105">
      <pivotArea dataOnly="0" labelOnly="1" grandCol="1" outline="0" fieldPosition="0"/>
    </format>
  </format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100375-3BC1-488A-B0AC-C42863846F0F}" name="TablaDinámica6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12:D17" firstHeaderRow="1" firstDataRow="2" firstDataCol="1"/>
  <pivotFields count="5">
    <pivotField axis="axisCol" showAll="0">
      <items count="6">
        <item x="0"/>
        <item h="1" x="1"/>
        <item h="1" m="1" x="4"/>
        <item x="2"/>
        <item h="1" x="3"/>
        <item t="default"/>
      </items>
    </pivotField>
    <pivotField showAll="0">
      <items count="19">
        <item x="0"/>
        <item x="10"/>
        <item m="1" x="17"/>
        <item m="1" x="16"/>
        <item x="14"/>
        <item x="13"/>
        <item x="8"/>
        <item x="11"/>
        <item x="9"/>
        <item x="7"/>
        <item x="1"/>
        <item x="3"/>
        <item x="6"/>
        <item x="5"/>
        <item m="1" x="15"/>
        <item x="2"/>
        <item x="12"/>
        <item x="4"/>
        <item t="default"/>
      </items>
    </pivotField>
    <pivotField numFmtId="14"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3"/>
    </i>
    <i t="grand">
      <x/>
    </i>
  </colItems>
  <dataFields count="1">
    <dataField name="Suma de Valor" fld="3" baseField="3" baseItem="0" numFmtId="3"/>
  </dataFields>
  <formats count="7">
    <format dxfId="114">
      <pivotArea field="4" type="button" dataOnly="0" labelOnly="1" outline="0" axis="axisRow" fieldPosition="0"/>
    </format>
    <format dxfId="113">
      <pivotArea dataOnly="0" labelOnly="1" fieldPosition="0">
        <references count="1">
          <reference field="0" count="0"/>
        </references>
      </pivotArea>
    </format>
    <format dxfId="112">
      <pivotArea dataOnly="0" labelOnly="1" grandCol="1" outline="0" fieldPosition="0"/>
    </format>
    <format dxfId="111">
      <pivotArea collapsedLevelsAreSubtotals="1" fieldPosition="0">
        <references count="1">
          <reference field="4" count="0"/>
        </references>
      </pivotArea>
    </format>
    <format dxfId="110">
      <pivotArea field="4" type="button" dataOnly="0" labelOnly="1" outline="0" axis="axisRow" fieldPosition="0"/>
    </format>
    <format dxfId="109">
      <pivotArea dataOnly="0" labelOnly="1" fieldPosition="0">
        <references count="1">
          <reference field="4" count="0"/>
        </references>
      </pivotArea>
    </format>
    <format dxfId="108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27089-94FD-4AAB-8476-1F391EEACE18}" name="TablaDinámica7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2:G37" firstHeaderRow="1" firstDataRow="2" firstDataCol="1" rowPageCount="1" colPageCount="1"/>
  <pivotFields count="5">
    <pivotField axis="axisPage" showAll="0">
      <items count="6">
        <item x="0"/>
        <item x="1"/>
        <item x="2"/>
        <item m="1" x="4"/>
        <item x="3"/>
        <item t="default"/>
      </items>
    </pivotField>
    <pivotField axis="axisCol" showAll="0" sortType="ascending">
      <items count="19">
        <item x="0"/>
        <item x="1"/>
        <item x="3"/>
        <item x="2"/>
        <item x="8"/>
        <item x="4"/>
        <item x="5"/>
        <item x="14"/>
        <item x="11"/>
        <item x="13"/>
        <item m="1" x="15"/>
        <item m="1" x="16"/>
        <item x="6"/>
        <item m="1" x="17"/>
        <item x="10"/>
        <item x="9"/>
        <item x="7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6">
    <i>
      <x v="15"/>
    </i>
    <i>
      <x v="14"/>
    </i>
    <i>
      <x v="17"/>
    </i>
    <i>
      <x v="8"/>
    </i>
    <i>
      <x v="4"/>
    </i>
    <i t="grand">
      <x/>
    </i>
  </colItems>
  <pageFields count="1">
    <pageField fld="0" item="2" hier="-1"/>
  </pageFields>
  <dataFields count="1">
    <dataField name="Suma de Valor" fld="3" showDataAs="percentOfRow" baseField="4" baseItem="0" numFmtId="10"/>
  </dataFields>
  <formats count="2">
    <format dxfId="116">
      <pivotArea dataOnly="0" labelOnly="1" fieldPosition="0">
        <references count="1">
          <reference field="1" count="0"/>
        </references>
      </pivotArea>
    </format>
    <format dxfId="11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8C8E5-71EF-40D3-95BB-30CAD021C347}" name="TablaDinámica5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D44:T82" firstHeaderRow="1" firstDataRow="2" firstDataCol="1"/>
  <pivotFields count="5">
    <pivotField showAll="0"/>
    <pivotField axis="axisCol" showAll="0" sortType="descending">
      <items count="19">
        <item x="0"/>
        <item m="1" x="16"/>
        <item x="14"/>
        <item x="13"/>
        <item x="8"/>
        <item x="11"/>
        <item x="1"/>
        <item x="3"/>
        <item x="6"/>
        <item x="5"/>
        <item m="1" x="15"/>
        <item x="2"/>
        <item x="4"/>
        <item m="1" x="17"/>
        <item x="10"/>
        <item x="9"/>
        <item x="7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dataField="1" showAll="0"/>
    <pivotField showAll="0">
      <items count="4">
        <item x="0"/>
        <item x="1"/>
        <item x="2"/>
        <item t="default"/>
      </items>
    </pivotField>
  </pivotFields>
  <rowFields count="1">
    <field x="2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1"/>
  </colFields>
  <colItems count="16">
    <i>
      <x/>
    </i>
    <i>
      <x v="6"/>
    </i>
    <i>
      <x v="11"/>
    </i>
    <i>
      <x v="7"/>
    </i>
    <i>
      <x v="3"/>
    </i>
    <i>
      <x v="2"/>
    </i>
    <i>
      <x v="16"/>
    </i>
    <i>
      <x v="12"/>
    </i>
    <i>
      <x v="4"/>
    </i>
    <i>
      <x v="8"/>
    </i>
    <i>
      <x v="5"/>
    </i>
    <i>
      <x v="17"/>
    </i>
    <i>
      <x v="14"/>
    </i>
    <i>
      <x v="9"/>
    </i>
    <i>
      <x v="15"/>
    </i>
    <i t="grand">
      <x/>
    </i>
  </colItems>
  <dataFields count="1">
    <dataField name="Suma de Valor" fld="3" baseField="2" baseItem="0" numFmtId="3"/>
  </dataFields>
  <formats count="4">
    <format dxfId="120">
      <pivotArea field="4" type="button" dataOnly="0" labelOnly="1" outline="0"/>
    </format>
    <format dxfId="119">
      <pivotArea field="2" type="button" dataOnly="0" labelOnly="1" outline="0" axis="axisRow" fieldPosition="0"/>
    </format>
    <format dxfId="118">
      <pivotArea dataOnly="0" labelOnly="1" fieldPosition="0">
        <references count="1">
          <reference field="1" count="0"/>
        </references>
      </pivotArea>
    </format>
    <format dxfId="11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11B78-1F54-4EE4-BA26-A19C47717DCF}" name="TablaDinámica3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>
  <location ref="A4:B8" firstHeaderRow="1" firstDataRow="2" firstDataCol="1"/>
  <pivotFields count="5">
    <pivotField axis="axisCol" showAll="0">
      <items count="6">
        <item x="0"/>
        <item h="1" x="1"/>
        <item h="1" m="1" x="4"/>
        <item h="1" x="2"/>
        <item h="1" x="3"/>
        <item t="default"/>
      </items>
    </pivotField>
    <pivotField showAll="0">
      <items count="19">
        <item x="0"/>
        <item x="10"/>
        <item m="1" x="17"/>
        <item m="1" x="16"/>
        <item x="14"/>
        <item x="13"/>
        <item x="8"/>
        <item x="11"/>
        <item x="9"/>
        <item x="7"/>
        <item x="1"/>
        <item x="3"/>
        <item x="6"/>
        <item x="5"/>
        <item m="1" x="15"/>
        <item x="2"/>
        <item x="12"/>
        <item x="4"/>
        <item t="default"/>
      </items>
    </pivotField>
    <pivotField numFmtId="14"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4"/>
  </rowFields>
  <rowItems count="3">
    <i>
      <x/>
    </i>
    <i>
      <x v="1"/>
    </i>
    <i>
      <x v="2"/>
    </i>
  </rowItems>
  <colFields count="1">
    <field x="0"/>
  </colFields>
  <colItems count="1">
    <i>
      <x/>
    </i>
  </colItems>
  <dataFields count="1">
    <dataField name="Suma de Valor" fld="3" baseField="3" baseItem="0" numFmtId="3"/>
  </dataFields>
  <formats count="7">
    <format dxfId="127">
      <pivotArea field="4" type="button" dataOnly="0" labelOnly="1" outline="0" axis="axisRow" fieldPosition="0"/>
    </format>
    <format dxfId="126">
      <pivotArea dataOnly="0" labelOnly="1" fieldPosition="0">
        <references count="1">
          <reference field="0" count="0"/>
        </references>
      </pivotArea>
    </format>
    <format dxfId="125">
      <pivotArea dataOnly="0" labelOnly="1" grandCol="1" outline="0" fieldPosition="0"/>
    </format>
    <format dxfId="124">
      <pivotArea collapsedLevelsAreSubtotals="1" fieldPosition="0">
        <references count="1">
          <reference field="4" count="0"/>
        </references>
      </pivotArea>
    </format>
    <format dxfId="123">
      <pivotArea field="4" type="button" dataOnly="0" labelOnly="1" outline="0" axis="axisRow" fieldPosition="0"/>
    </format>
    <format dxfId="122">
      <pivotArea dataOnly="0" labelOnly="1" fieldPosition="0">
        <references count="1">
          <reference field="4" count="0"/>
        </references>
      </pivotArea>
    </format>
    <format dxfId="121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E78BE2-4B8E-4F1A-97B6-9A4995629039}" name="TablaDinámica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22:F27" firstHeaderRow="1" firstDataRow="2" firstDataCol="1" rowPageCount="1" colPageCount="1"/>
  <pivotFields count="5">
    <pivotField axis="axisPage" showAll="0">
      <items count="6">
        <item x="0"/>
        <item x="1"/>
        <item x="2"/>
        <item m="1" x="4"/>
        <item x="3"/>
        <item t="default"/>
      </items>
    </pivotField>
    <pivotField axis="axisCol" showAll="0">
      <items count="19">
        <item x="0"/>
        <item x="1"/>
        <item x="3"/>
        <item x="2"/>
        <item x="8"/>
        <item x="4"/>
        <item x="5"/>
        <item x="14"/>
        <item x="11"/>
        <item x="13"/>
        <item m="1" x="15"/>
        <item m="1" x="16"/>
        <item x="6"/>
        <item m="1" x="17"/>
        <item x="10"/>
        <item x="9"/>
        <item x="7"/>
        <item x="12"/>
        <item t="default"/>
      </items>
    </pivotField>
    <pivotField numFmtId="14"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0" item="0" hier="-1"/>
  </pageFields>
  <dataFields count="1">
    <dataField name="Suma de Valor" fld="3" showDataAs="percentOfRow" baseField="4" baseItem="0" numFmtId="10"/>
  </dataFields>
  <formats count="2">
    <format dxfId="129">
      <pivotArea dataOnly="0" labelOnly="1" fieldPosition="0">
        <references count="1">
          <reference field="1" count="0"/>
        </references>
      </pivotArea>
    </format>
    <format dxfId="12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7D083-B388-4A16-9E12-D15C6D342829}" name="TablaDinámica8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H12:K17" firstHeaderRow="1" firstDataRow="2" firstDataCol="1"/>
  <pivotFields count="5">
    <pivotField axis="axisCol" showAll="0">
      <items count="6">
        <item x="0"/>
        <item h="1" x="1"/>
        <item h="1" m="1" x="4"/>
        <item x="2"/>
        <item h="1" x="3"/>
        <item t="default"/>
      </items>
    </pivotField>
    <pivotField showAll="0">
      <items count="19">
        <item x="0"/>
        <item x="10"/>
        <item m="1" x="17"/>
        <item m="1" x="16"/>
        <item x="14"/>
        <item x="13"/>
        <item x="8"/>
        <item x="11"/>
        <item x="9"/>
        <item x="7"/>
        <item x="1"/>
        <item x="3"/>
        <item x="6"/>
        <item x="5"/>
        <item m="1" x="15"/>
        <item x="2"/>
        <item x="12"/>
        <item x="4"/>
        <item t="default"/>
      </items>
    </pivotField>
    <pivotField numFmtId="14"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3"/>
    </i>
    <i t="grand">
      <x/>
    </i>
  </colItems>
  <dataFields count="1">
    <dataField name="Suma de Valor" fld="3" baseField="3" baseItem="0" numFmtId="3"/>
  </dataFields>
  <formats count="7">
    <format dxfId="136">
      <pivotArea field="4" type="button" dataOnly="0" labelOnly="1" outline="0" axis="axisRow" fieldPosition="0"/>
    </format>
    <format dxfId="135">
      <pivotArea dataOnly="0" labelOnly="1" fieldPosition="0">
        <references count="1">
          <reference field="0" count="0"/>
        </references>
      </pivotArea>
    </format>
    <format dxfId="134">
      <pivotArea dataOnly="0" labelOnly="1" grandCol="1" outline="0" fieldPosition="0"/>
    </format>
    <format dxfId="133">
      <pivotArea collapsedLevelsAreSubtotals="1" fieldPosition="0">
        <references count="1">
          <reference field="4" count="0"/>
        </references>
      </pivotArea>
    </format>
    <format dxfId="132">
      <pivotArea field="4" type="button" dataOnly="0" labelOnly="1" outline="0" axis="axisRow" fieldPosition="0"/>
    </format>
    <format dxfId="131">
      <pivotArea dataOnly="0" labelOnly="1" fieldPosition="0">
        <references count="1">
          <reference field="4" count="0"/>
        </references>
      </pivotArea>
    </format>
    <format dxfId="130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5A896-B817-4E40-A6CF-3BB24D9A1C8E}" name="TablaDinámica9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I8:N13" firstHeaderRow="1" firstDataRow="2" firstDataCol="1" rowPageCount="1" colPageCount="1"/>
  <pivotFields count="5">
    <pivotField axis="axisCol" showAll="0">
      <items count="6">
        <item x="0"/>
        <item x="1"/>
        <item x="2"/>
        <item m="1" x="4"/>
        <item x="3"/>
        <item t="default"/>
      </items>
    </pivotField>
    <pivotField axis="axisPage" showAll="0" sortType="ascending">
      <items count="19">
        <item x="0"/>
        <item x="1"/>
        <item x="3"/>
        <item x="2"/>
        <item x="8"/>
        <item x="4"/>
        <item x="5"/>
        <item x="14"/>
        <item x="11"/>
        <item x="13"/>
        <item m="1" x="15"/>
        <item m="1" x="16"/>
        <item x="6"/>
        <item m="1" x="17"/>
        <item x="10"/>
        <item x="9"/>
        <item x="7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4"/>
    </i>
    <i t="grand">
      <x/>
    </i>
  </colItems>
  <pageFields count="1">
    <pageField fld="1" hier="-1"/>
  </pageFields>
  <dataFields count="1">
    <dataField name="Suma de Valor" fld="3" baseField="4" baseItem="0"/>
  </dataFields>
  <formats count="3">
    <format dxfId="98">
      <pivotArea dataOnly="0" labelOnly="1" fieldPosition="0">
        <references count="1">
          <reference field="1" count="0"/>
        </references>
      </pivotArea>
    </format>
    <format dxfId="97">
      <pivotArea outline="0" fieldPosition="0">
        <references count="1">
          <reference field="4294967294" count="1">
            <x v="0"/>
          </reference>
        </references>
      </pivotArea>
    </format>
    <format dxfId="96">
      <pivotArea dataOnly="0" outline="0" fieldPosition="0">
        <references count="2">
          <reference field="0" count="1" selected="0">
            <x v="2"/>
          </reference>
          <reference field="1" count="1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7BAAB-9415-47FF-890A-FC6A92E97781}" name="TablaDinámica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B20:E25" firstHeaderRow="1" firstDataRow="2" firstDataCol="1"/>
  <pivotFields count="5">
    <pivotField showAll="0"/>
    <pivotField axis="axisCol" multipleItemSelectionAllowed="1" showAll="0" sortType="ascending">
      <items count="19">
        <item x="0"/>
        <item h="1" x="1"/>
        <item h="1" x="3"/>
        <item h="1" x="2"/>
        <item h="1" x="8"/>
        <item h="1" x="4"/>
        <item h="1" x="5"/>
        <item h="1" x="14"/>
        <item h="1" x="11"/>
        <item h="1" x="13"/>
        <item h="1" m="1" x="15"/>
        <item h="1" m="1" x="16"/>
        <item h="1" x="6"/>
        <item h="1" m="1" x="17"/>
        <item h="1" x="10"/>
        <item x="9"/>
        <item h="1" x="7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 v="15"/>
    </i>
    <i>
      <x/>
    </i>
    <i t="grand">
      <x/>
    </i>
  </colItems>
  <dataFields count="1">
    <dataField name="Suma de Valor" fld="3" baseField="4" baseItem="0"/>
  </dataFields>
  <formats count="2">
    <format dxfId="100">
      <pivotArea dataOnly="0" labelOnly="1" fieldPosition="0">
        <references count="1">
          <reference field="1" count="0"/>
        </references>
      </pivotArea>
    </format>
    <format dxfId="9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D01B8-2565-4A83-9E79-D1F3F72B7719}" name="TablaDiná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B8:F14" firstHeaderRow="1" firstDataRow="3" firstDataCol="1" rowPageCount="1" colPageCount="1"/>
  <pivotFields count="5">
    <pivotField axis="axisPage" showAll="0">
      <items count="6">
        <item x="0"/>
        <item x="1"/>
        <item x="2"/>
        <item m="1" x="4"/>
        <item x="3"/>
        <item t="default"/>
      </items>
    </pivotField>
    <pivotField axis="axisCol" showAll="0" sortType="ascending">
      <items count="19">
        <item x="0"/>
        <item h="1" x="1"/>
        <item h="1" x="3"/>
        <item h="1" x="2"/>
        <item h="1" x="8"/>
        <item h="1" x="4"/>
        <item h="1" x="5"/>
        <item h="1" x="14"/>
        <item h="1" x="11"/>
        <item h="1" x="13"/>
        <item h="1" m="1" x="15"/>
        <item h="1" m="1" x="16"/>
        <item h="1" x="6"/>
        <item h="1" m="1" x="17"/>
        <item h="1" x="10"/>
        <item x="9"/>
        <item h="1" x="7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2">
    <field x="-2"/>
    <field x="1"/>
  </colFields>
  <colItems count="4">
    <i>
      <x/>
      <x v="15"/>
    </i>
    <i i="1">
      <x v="1"/>
      <x v="15"/>
    </i>
    <i t="grand">
      <x/>
    </i>
    <i t="grand" i="1">
      <x/>
    </i>
  </colItems>
  <pageFields count="1">
    <pageField fld="0" item="2" hier="-1"/>
  </pageFields>
  <dataFields count="2">
    <dataField name="Suma de Valor" fld="3" baseField="4" baseItem="0"/>
    <dataField name="Suma de Valor2" fld="3" showDataAs="percentOfRow" baseField="4" baseItem="2" numFmtId="10"/>
  </dataFields>
  <formats count="4">
    <format dxfId="104">
      <pivotArea dataOnly="0" labelOnly="1" fieldPosition="0">
        <references count="1">
          <reference field="1" count="0"/>
        </references>
      </pivotArea>
    </format>
    <format dxfId="103">
      <pivotArea outline="0" fieldPosition="0">
        <references count="1">
          <reference field="4294967294" count="1">
            <x v="0"/>
          </reference>
        </references>
      </pivotArea>
    </format>
    <format dxfId="102">
      <pivotArea outline="0" fieldPosition="0">
        <references count="1">
          <reference field="4294967294" count="1">
            <x v="1"/>
          </reference>
        </references>
      </pivotArea>
    </format>
    <format dxfId="101">
      <pivotArea dataOnly="0" outline="0" fieldPosition="0">
        <references count="2">
          <reference field="0" count="1" selected="0">
            <x v="2"/>
          </reference>
          <reference field="1" count="1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7F368-8EE4-4D19-B1F6-82617F62DFAD}" name="TablaDinámica2" cacheId="481" dataOnRows="1" applyNumberFormats="0" applyBorderFormats="0" applyFontFormats="0" applyPatternFormats="0" applyAlignmentFormats="0" applyWidthHeightFormats="1" dataCaption="Valores" tag="c5217219-0231-40bc-877a-d6b1b7464e91" updatedVersion="8" minRefreshableVersion="3" enableDrill="0" subtotalHiddenItems="1" colGrandTotals="0" itemPrintTitles="1" createdVersion="8" indent="0" outline="1" outlineData="1" multipleFieldFilters="0">
  <location ref="B72:F78" firstHeaderRow="1" firstDataRow="2" firstDataCol="1"/>
  <pivotFields count="6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4">
    <i>
      <x/>
    </i>
    <i>
      <x v="1"/>
    </i>
    <i>
      <x v="2"/>
    </i>
    <i>
      <x v="3"/>
    </i>
  </colItems>
  <dataFields count="5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</dataFields>
  <formats count="6">
    <format dxfId="26">
      <pivotArea field="0" type="button" dataOnly="0" labelOnly="1" outline="0" axis="axisCol" fieldPosition="0"/>
    </format>
    <format dxfId="27">
      <pivotArea dataOnly="0" labelOnly="1" grandCol="1" outline="0" fieldPosition="0"/>
    </format>
    <format dxfId="28">
      <pivotArea dataOnly="0" labelOnly="1" grandCol="1" outline="0" fieldPosition="0"/>
    </format>
    <format dxfId="29">
      <pivotArea dataOnly="0" labelOnly="1" grandCol="1" outline="0" fieldPosition="0"/>
    </format>
    <format dxfId="30">
      <pivotArea dataOnly="0" outline="0" fieldPosition="0">
        <references count="1">
          <reference field="4294967294" count="1">
            <x v="2"/>
          </reference>
        </references>
      </pivotArea>
    </format>
    <format dxfId="31">
      <pivotArea dataOnly="0" outline="0" fieldPosition="0">
        <references count="1">
          <reference field="4294967294" count="1">
            <x v="4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" showRowHeaders="1" showColHeaders="1" showRowStripes="0" showColStripes="0" showLastColumn="1"/>
  <rowHierarchiesUsage count="1">
    <rowHierarchyUsage hierarchyUsage="-2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n_financiero]"/>
        <x15:activeTabTopLevelEntity name="[A_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0306E-8BEA-4549-8989-3C79E05BF1B8}" name="TablaDinámica1" cacheId="478" dataOnRows="1" applyNumberFormats="0" applyBorderFormats="0" applyFontFormats="0" applyPatternFormats="0" applyAlignmentFormats="0" applyWidthHeightFormats="1" dataCaption="Valores" tag="583cd9aa-8aa5-4fd5-8c36-e5e2bf9df5e4" updatedVersion="8" minRefreshableVersion="3" enableDrill="0" subtotalHiddenItems="1" colGrandTotals="0" itemPrintTitles="1" createdVersion="8" indent="0" outline="1" outlineData="1" multipleFieldFilters="0">
  <location ref="B58:AX64" firstHeaderRow="1" firstDataRow="2" firstDataCol="1" rowPageCount="1" colPageCount="1"/>
  <pivotFields count="7"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Col" allDrilled="1" subtotalTop="0" showAll="0" dataSourceSort="1" defaultSubtotal="0" defaultAttributeDrillState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6"/>
  </colFields>
  <col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</colItems>
  <pageFields count="1">
    <pageField fld="0" hier="1" name="[A_time].[Year].[All]" cap="All"/>
  </pageFields>
  <dataFields count="5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</dataFields>
  <formats count="8">
    <format dxfId="32">
      <pivotArea field="0" type="button" dataOnly="0" labelOnly="1" outline="0" axis="axisPage" fieldPosition="0"/>
    </format>
    <format dxfId="33">
      <pivotArea dataOnly="0" labelOnly="1" grandCol="1" outline="0" fieldPosition="0"/>
    </format>
    <format dxfId="34">
      <pivotArea dataOnly="0" labelOnly="1" grandCol="1" outline="0" fieldPosition="0"/>
    </format>
    <format dxfId="35">
      <pivotArea dataOnly="0" labelOnly="1" grandCol="1" outline="0" fieldPosition="0"/>
    </format>
    <format dxfId="36">
      <pivotArea dataOnly="0" outline="0" fieldPosition="0">
        <references count="1">
          <reference field="4294967294" count="1">
            <x v="2"/>
          </reference>
        </references>
      </pivotArea>
    </format>
    <format dxfId="37">
      <pivotArea dataOnly="0" outline="0" fieldPosition="0">
        <references count="1">
          <reference field="4294967294" count="1">
            <x v="4"/>
          </reference>
        </references>
      </pivotArea>
    </format>
    <format dxfId="38">
      <pivotArea dataOnly="0" outline="0" fieldPosition="0">
        <references count="1">
          <reference field="6" count="1">
            <x v="12"/>
          </reference>
        </references>
      </pivotArea>
    </format>
    <format dxfId="39">
      <pivotArea dataOnly="0" outline="0" fieldPosition="0">
        <references count="1">
          <reference field="6" count="1">
            <x v="24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" showRowHeaders="1" showColHeaders="1" showRowStripes="0" showColStripes="0" showLastColumn="1"/>
  <rowHierarchiesUsage count="1">
    <rowHierarchyUsage hierarchyUsage="-2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n_financiero]"/>
        <x15:activeTabTopLevelEntity name="[A_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1693EC-86AA-4D22-9D59-CA8B1432FF12}" name="TablaDinámica16" cacheId="493" applyNumberFormats="0" applyBorderFormats="0" applyFontFormats="0" applyPatternFormats="0" applyAlignmentFormats="0" applyWidthHeightFormats="1" dataCaption="Valores" tag="dc851008-50f9-4924-b2bf-45191b5a87ac" updatedVersion="8" minRefreshableVersion="3" showDrill="0" showMemberPropertyTips="0" showDataTips="0" enableDrill="0" subtotalHiddenItems="1" itemPrintTitles="1" createdVersion="8" indent="0" showHeaders="0" outline="1" outlineData="1" multipleFieldFilters="0">
  <location ref="B17:F23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 v="2"/>
    </i>
    <i>
      <x/>
    </i>
    <i>
      <x v="1"/>
    </i>
    <i t="grand">
      <x/>
    </i>
  </colItems>
  <dataFields count="1">
    <dataField fld="0" subtotal="count" baseField="0" baseItem="0"/>
  </dataFields>
  <formats count="7">
    <format dxfId="49">
      <pivotArea field="1" type="button" dataOnly="0" labelOnly="1" outline="0" axis="axisRow" fieldPosition="0"/>
    </format>
    <format dxfId="50">
      <pivotArea dataOnly="0" labelOnly="1" fieldPosition="0">
        <references count="1">
          <reference field="2" count="0"/>
        </references>
      </pivotArea>
    </format>
    <format dxfId="51">
      <pivotArea dataOnly="0" labelOnly="1" grandCol="1" outline="0" fieldPosition="0"/>
    </format>
    <format dxfId="52">
      <pivotArea dataOnly="0" labelOnly="1" fieldPosition="0">
        <references count="1">
          <reference field="2" count="0"/>
        </references>
      </pivotArea>
    </format>
    <format dxfId="53">
      <pivotArea dataOnly="0" labelOnly="1" grandCol="1" outline="0" fieldPosition="0"/>
    </format>
    <format dxfId="54">
      <pivotArea dataOnly="0" labelOnly="1" fieldPosition="0">
        <references count="1">
          <reference field="2" count="0"/>
        </references>
      </pivotArea>
    </format>
    <format dxfId="55">
      <pivotArea dataOnly="0" labelOnly="1" grandCol="1" outline="0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" showRowHeaders="1" showColHeaders="1" showRowStripes="0" showColStripes="0" showLastColumn="1"/>
  <rowHierarchiesUsage count="1">
    <rowHierarchyUsage hierarchyUsage="1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n_financiero]"/>
        <x15:activeTabTopLevelEntity name="[A_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9BF02-393E-4FBB-A861-46AEB71C8D64}" name="TablaDinámica19" cacheId="484" dataOnRows="1" applyNumberFormats="0" applyBorderFormats="0" applyFontFormats="0" applyPatternFormats="0" applyAlignmentFormats="0" applyWidthHeightFormats="1" dataCaption="Valores" tag="cc3e476b-98a6-4120-a867-5b22db225252" updatedVersion="8" minRefreshableVersion="3" showDrill="0" showMemberPropertyTips="0" showDataTips="0" enableDrill="0" subtotalHiddenItems="1" colGrandTotals="0" itemPrintTitles="1" createdVersion="8" indent="0" showHeaders="0" outline="1" outlineData="1" multipleFieldFilters="0">
  <location ref="B44:F49" firstHeaderRow="0" firstDataRow="1" firstDataCol="1"/>
  <pivotFields count="6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4">
    <i>
      <x/>
    </i>
    <i>
      <x v="1"/>
    </i>
    <i>
      <x v="2"/>
    </i>
    <i>
      <x v="3"/>
    </i>
  </colItems>
  <dataFields count="5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</dataFields>
  <formats count="6">
    <format dxfId="40">
      <pivotArea field="0" type="button" dataOnly="0" labelOnly="1" outline="0" axis="axisCol" fieldPosition="0"/>
    </format>
    <format dxfId="41">
      <pivotArea dataOnly="0" labelOnly="1" grandCol="1" outline="0" fieldPosition="0"/>
    </format>
    <format dxfId="42">
      <pivotArea dataOnly="0" labelOnly="1" grandCol="1" outline="0" fieldPosition="0"/>
    </format>
    <format dxfId="43">
      <pivotArea dataOnly="0" labelOnly="1" grandCol="1" outline="0" fieldPosition="0"/>
    </format>
    <format dxfId="44">
      <pivotArea dataOnly="0" outline="0" fieldPosition="0">
        <references count="1">
          <reference field="4294967294" count="1">
            <x v="2"/>
          </reference>
        </references>
      </pivotArea>
    </format>
    <format dxfId="45">
      <pivotArea dataOnly="0" outline="0" fieldPosition="0">
        <references count="1">
          <reference field="4294967294" count="1">
            <x v="4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" showRowHeaders="1" showColHeaders="1" showRowStripes="0" showColStripes="0" showLastColumn="1"/>
  <rowHierarchiesUsage count="1">
    <rowHierarchyUsage hierarchyUsage="-2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n_financiero]"/>
        <x15:activeTabTopLevelEntity name="[A_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4D9836-81F9-43F0-9C54-24DE44AD1FC2}" name="TablaDinámica17" cacheId="496" applyNumberFormats="0" applyBorderFormats="0" applyFontFormats="0" applyPatternFormats="0" applyAlignmentFormats="0" applyWidthHeightFormats="1" dataCaption="Valores" tag="6ec2edec-bc9d-4167-bd1d-88cca1875304" updatedVersion="8" minRefreshableVersion="3" showDrill="0" showMemberPropertyTips="0" showDataTips="0" enableDrill="0" subtotalHiddenItems="1" itemPrintTitles="1" createdVersion="8" indent="0" showHeaders="0" outline="1" outlineData="1" multipleFieldFilters="0">
  <location ref="B26:J32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8">
    <i>
      <x v="5"/>
    </i>
    <i>
      <x v="6"/>
    </i>
    <i>
      <x v="2"/>
    </i>
    <i>
      <x v="4"/>
    </i>
    <i>
      <x/>
    </i>
    <i>
      <x v="3"/>
    </i>
    <i>
      <x v="1"/>
    </i>
    <i t="grand">
      <x/>
    </i>
  </colItems>
  <dataFields count="1">
    <dataField fld="2" subtotal="count" baseField="0" baseItem="0"/>
  </dataFields>
  <formats count="7">
    <format dxfId="56">
      <pivotArea field="0" type="button" dataOnly="0" labelOnly="1" outline="0" axis="axisRow" fieldPosition="0"/>
    </format>
    <format dxfId="57">
      <pivotArea dataOnly="0" labelOnly="1" fieldPosition="0">
        <references count="1">
          <reference field="1" count="0"/>
        </references>
      </pivotArea>
    </format>
    <format dxfId="58">
      <pivotArea dataOnly="0" labelOnly="1" grandCol="1" outline="0" fieldPosition="0"/>
    </format>
    <format dxfId="59">
      <pivotArea dataOnly="0" labelOnly="1" fieldPosition="0">
        <references count="1">
          <reference field="1" count="0"/>
        </references>
      </pivotArea>
    </format>
    <format dxfId="60">
      <pivotArea dataOnly="0" labelOnly="1" grandCol="1" outline="0" fieldPosition="0"/>
    </format>
    <format dxfId="61">
      <pivotArea dataOnly="0" labelOnly="1" fieldPosition="0">
        <references count="1">
          <reference field="1" count="0"/>
        </references>
      </pivotArea>
    </format>
    <format dxfId="62">
      <pivotArea dataOnly="0" labelOnly="1" grandCol="1" outline="0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" showRowHeaders="1" showColHeaders="1" showRowStripes="0" showColStripes="0" showLastColumn="1"/>
  <rowHierarchiesUsage count="1">
    <rowHierarchyUsage hierarchyUsage="1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n_financiero]"/>
        <x15:activeTabTopLevelEntity name="[A_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BBCF3-E0BC-4BDD-8CC9-39BC540BA0EC}" name="TablaDinámica12" cacheId="490" applyNumberFormats="0" applyBorderFormats="0" applyFontFormats="0" applyPatternFormats="0" applyAlignmentFormats="0" applyWidthHeightFormats="1" dataCaption="Valores" tag="07f59979-5c39-4d75-9a98-f80470970de6" updatedVersion="8" minRefreshableVersion="3" showDrill="0" showMemberPropertyTips="0" showDataTips="0" subtotalHiddenItems="1" itemPrintTitles="1" createdVersion="8" indent="0" showHeaders="0" outline="1" outlineData="1" multipleFieldFilters="0">
  <location ref="B6:D11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2" subtotal="count" baseField="0" baseItem="0"/>
  </dataFields>
  <formats count="3"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n_financiero]"/>
        <x15:activeTabTopLevelEntity name="[A_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B7551-4B1E-4E79-8D40-0426FB690C79}" name="TablaDinámica11" cacheId="487" applyNumberFormats="0" applyBorderFormats="0" applyFontFormats="0" applyPatternFormats="0" applyAlignmentFormats="0" applyWidthHeightFormats="1" dataCaption="Valores" tag="03109f58-fbc0-45fb-b818-c742345df21e" updatedVersion="8" minRefreshableVersion="3" subtotalHiddenItems="1" itemPrintTitles="1" createdVersion="8" indent="0" outline="1" outlineData="1" multipleFieldFilters="0">
  <location ref="B3:B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n_financiero]"/>
        <x15:activeTabTopLevelEntity name="[A_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EDC64-8F1F-4E68-BA9B-F7D2AC71308F}" name="TablaDinámica18" cacheId="499" applyNumberFormats="0" applyBorderFormats="0" applyFontFormats="0" applyPatternFormats="0" applyAlignmentFormats="0" applyWidthHeightFormats="1" dataCaption="Valores" tag="8a329e36-8b25-47f3-8a26-fe52fef84ef1" updatedVersion="8" minRefreshableVersion="3" showDrill="0" showMemberPropertyTips="0" showDataTips="0" enableDrill="0" subtotalHiddenItems="1" itemPrintTitles="1" createdVersion="8" indent="0" showHeaders="0" outline="1" outlineData="1" multipleFieldFilters="0">
  <location ref="B35:F41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 v="2"/>
    </i>
    <i>
      <x/>
    </i>
    <i>
      <x v="1"/>
    </i>
    <i t="grand">
      <x/>
    </i>
  </colItems>
  <dataFields count="1">
    <dataField fld="2" subtotal="count" baseField="0" baseItem="0"/>
  </dataFields>
  <formats count="7">
    <format dxfId="63">
      <pivotArea field="0" type="button" dataOnly="0" labelOnly="1" outline="0" axis="axisRow" fieldPosition="0"/>
    </format>
    <format dxfId="64">
      <pivotArea dataOnly="0" labelOnly="1" fieldPosition="0">
        <references count="1">
          <reference field="1" count="0"/>
        </references>
      </pivotArea>
    </format>
    <format dxfId="65">
      <pivotArea dataOnly="0" labelOnly="1" grandCol="1" outline="0" fieldPosition="0"/>
    </format>
    <format dxfId="66">
      <pivotArea dataOnly="0" labelOnly="1" fieldPosition="0">
        <references count="1">
          <reference field="1" count="0"/>
        </references>
      </pivotArea>
    </format>
    <format dxfId="67">
      <pivotArea dataOnly="0" labelOnly="1" grandCol="1" outline="0" fieldPosition="0"/>
    </format>
    <format dxfId="68">
      <pivotArea dataOnly="0" labelOnly="1" fieldPosition="0">
        <references count="1">
          <reference field="1" count="0"/>
        </references>
      </pivotArea>
    </format>
    <format dxfId="69">
      <pivotArea dataOnly="0" labelOnly="1" grandCol="1" outline="0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" showRowHeaders="1" showColHeaders="1" showRowStripes="0" showColStripes="0" showLastColumn="1"/>
  <rowHierarchiesUsage count="1">
    <rowHierarchyUsage hierarchyUsage="1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n_financiero]"/>
        <x15:activeTabTopLevelEntity name="[A_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ncepto" xr10:uid="{AF0E89EF-1F07-485D-B9FB-B2B88220C800}" sourceName="Concepto">
  <pivotTables>
    <pivotTable tabId="4" name="TablaDinámica2"/>
    <pivotTable tabId="4" name="TablaDinámica3"/>
    <pivotTable tabId="4" name="TablaDinámica4"/>
    <pivotTable tabId="4" name="TablaDinámica5"/>
    <pivotTable tabId="4" name="TablaDinámica6"/>
    <pivotTable tabId="4" name="TablaDinámica7"/>
    <pivotTable tabId="4" name="TablaDinámica8"/>
  </pivotTables>
  <data>
    <tabular pivotCacheId="1788751228">
      <items count="18">
        <i x="0" s="1"/>
        <i x="10" s="1"/>
        <i x="14" s="1"/>
        <i x="13" s="1"/>
        <i x="8" s="1"/>
        <i x="11" s="1"/>
        <i x="9" s="1"/>
        <i x="7" s="1"/>
        <i x="1" s="1"/>
        <i x="3" s="1"/>
        <i x="6" s="1"/>
        <i x="5" s="1"/>
        <i x="2" s="1"/>
        <i x="12" s="1"/>
        <i x="4" s="1"/>
        <i x="17" s="1" nd="1"/>
        <i x="16" s="1" nd="1"/>
        <i x="15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D82E756A-1803-432C-B9F1-4532FFC4DAFF}" sourceName="Año">
  <pivotTables>
    <pivotTable tabId="4" name="TablaDinámica5"/>
    <pivotTable tabId="4" name="TablaDinámica2"/>
    <pivotTable tabId="4" name="TablaDinámica3"/>
    <pivotTable tabId="4" name="TablaDinámica4"/>
    <pivotTable tabId="4" name="TablaDinámica6"/>
    <pivotTable tabId="4" name="TablaDinámica7"/>
    <pivotTable tabId="4" name="TablaDinámica8"/>
  </pivotTables>
  <data>
    <tabular pivotCacheId="1788751228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cepto" xr10:uid="{EFAB2336-946C-4073-94C3-C114E2922897}" cache="SegmentaciónDeDatos_Concepto" caption="Concepto" rowHeight="247650"/>
  <slicer name="Año" xr10:uid="{88873C0C-EAF6-47D1-9B66-9AC73547883D}" cache="SegmentaciónDeDatos_Año" caption="Año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3D5BF0-20D2-4D56-8EFF-4135611A72F0}" name="Plan_financiero" displayName="Plan_financiero" ref="A2:AZ31" totalsRowCount="1" headerRowDxfId="95">
  <autoFilter ref="A2:AZ30" xr:uid="{F83D5BF0-20D2-4D56-8EFF-4135611A72F0}"/>
  <tableColumns count="52">
    <tableColumn id="1" xr3:uid="{740F1D52-6FBF-40B8-A793-84D158826892}" name="Concepto"/>
    <tableColumn id="38" xr3:uid="{33C2C7F8-FEB5-4686-B559-9477878A0EA1}" name="Partida"/>
    <tableColumn id="52" xr3:uid="{EC776297-09CE-4623-8D6B-78A2E617502A}" name="Columna1"/>
    <tableColumn id="39" xr3:uid="{7B442472-62A4-4056-88AF-33F23B432FE2}" name="Ratios"/>
    <tableColumn id="2" xr3:uid="{AFF03FC8-6A37-4C01-AB4D-7590D914351C}" name="1-1-26" totalsRowFunction="custom" totalsRowDxfId="91">
      <totalsRowFormula>+SUM(E10:E30)</totalsRowFormula>
    </tableColumn>
    <tableColumn id="3" xr3:uid="{B8F126CC-6CBD-43AE-80F3-DFF59551E88E}" name="1-2-26" totalsRowFunction="custom" totalsRowDxfId="90">
      <totalsRowFormula>+SUM(F10:F30)</totalsRowFormula>
    </tableColumn>
    <tableColumn id="4" xr3:uid="{12AD836F-EC8E-41A6-8B69-820851235F04}" name="1-3-26" totalsRowFunction="custom" totalsRowDxfId="89">
      <totalsRowFormula>+SUM(G10:G30)</totalsRowFormula>
    </tableColumn>
    <tableColumn id="5" xr3:uid="{88D3BB60-C09C-4C65-B17E-5625066B8653}" name="1-4-26" totalsRowFunction="custom" dataDxfId="94" totalsRowDxfId="88">
      <totalsRowFormula>+SUM(H10:H30)</totalsRowFormula>
    </tableColumn>
    <tableColumn id="6" xr3:uid="{7B12ADDA-43E7-4E80-A84A-553224ADBB15}" name="1-5-26" totalsRowFunction="custom" totalsRowDxfId="87">
      <totalsRowFormula>+SUM(I10:I30)</totalsRowFormula>
    </tableColumn>
    <tableColumn id="7" xr3:uid="{BE069DDB-1EFE-43D9-9922-33D3E3201C36}" name="1-6-26" totalsRowFunction="custom" totalsRowDxfId="86">
      <totalsRowFormula>+SUM(J10:J30)</totalsRowFormula>
    </tableColumn>
    <tableColumn id="8" xr3:uid="{7B41D629-AF53-4B9D-AA5B-040B5CA22685}" name="1-7-26" totalsRowFunction="custom" dataDxfId="93" totalsRowDxfId="85">
      <totalsRowFormula>+SUM(K10:K30)</totalsRowFormula>
    </tableColumn>
    <tableColumn id="9" xr3:uid="{0DA9B5EC-3415-4E88-A5AE-B1648BA8D3D5}" name="1-8-26" totalsRowFunction="custom" totalsRowDxfId="84">
      <totalsRowFormula>+SUM(L10:L30)</totalsRowFormula>
    </tableColumn>
    <tableColumn id="10" xr3:uid="{0FC5430A-AA99-4356-BAB4-2CB165A16544}" name="1-9-26" totalsRowFunction="custom" totalsRowDxfId="83">
      <totalsRowFormula>+SUM(M10:M30)</totalsRowFormula>
    </tableColumn>
    <tableColumn id="11" xr3:uid="{461F36D2-5426-4936-A83E-327A220184A7}" name="1-10-26" totalsRowFunction="custom" dataDxfId="92" totalsRowDxfId="82">
      <totalsRowFormula>+SUM(N10:N30)</totalsRowFormula>
    </tableColumn>
    <tableColumn id="12" xr3:uid="{CC986336-E9D9-4642-B89D-364CDAECD657}" name="1-11-26" totalsRowFunction="custom" totalsRowDxfId="81">
      <totalsRowFormula>+SUM(O10:O30)</totalsRowFormula>
    </tableColumn>
    <tableColumn id="13" xr3:uid="{28373A80-DDB5-46D1-B91F-CFFCE4DD159E}" name="1-12-26" totalsRowFunction="custom" totalsRowDxfId="80">
      <totalsRowFormula>+SUM(P10:P30)</totalsRowFormula>
    </tableColumn>
    <tableColumn id="14" xr3:uid="{A5E2E404-FFA0-4888-8047-2760DEC9634A}" name="1-1-27" totalsRowFunction="custom" totalsRowDxfId="79">
      <totalsRowFormula>+SUM(Q10:Q30)</totalsRowFormula>
    </tableColumn>
    <tableColumn id="15" xr3:uid="{1203CA78-8E29-4B6E-BDBC-81EB281088AB}" name="1-2-27" totalsRowFunction="custom" totalsRowDxfId="78">
      <totalsRowFormula>+SUM(R10:R30)</totalsRowFormula>
    </tableColumn>
    <tableColumn id="16" xr3:uid="{43DC11F0-62A6-4C4E-93A0-F00ADED67981}" name="1-3-27" totalsRowFunction="custom" totalsRowDxfId="77">
      <totalsRowFormula>+SUM(S10:S30)</totalsRowFormula>
    </tableColumn>
    <tableColumn id="17" xr3:uid="{FCE73B01-1351-4D54-BC60-92D7862DFFB6}" name="1-4-27" totalsRowFunction="custom" totalsRowDxfId="76">
      <totalsRowFormula>+SUM(T10:T30)</totalsRowFormula>
    </tableColumn>
    <tableColumn id="18" xr3:uid="{32BD8525-B68E-45E9-A66D-F2BBA639ACA9}" name="1-5-27" totalsRowFunction="custom" totalsRowDxfId="75">
      <totalsRowFormula>+SUM(U10:U30)</totalsRowFormula>
    </tableColumn>
    <tableColumn id="19" xr3:uid="{A7883B4E-3AF3-4739-87B7-887A5C0F3E90}" name="1-6-27" totalsRowFunction="custom" totalsRowDxfId="74">
      <totalsRowFormula>+SUM(V10:V30)</totalsRowFormula>
    </tableColumn>
    <tableColumn id="20" xr3:uid="{AEC118F2-42AB-4BA7-B657-900018D5450C}" name="1-7-27" totalsRowFunction="custom" totalsRowDxfId="73">
      <totalsRowFormula>+SUM(W10:W30)</totalsRowFormula>
    </tableColumn>
    <tableColumn id="21" xr3:uid="{562C1BA0-BE34-497A-9032-44E04B44A089}" name="1-8-27" totalsRowFunction="custom" totalsRowDxfId="72">
      <totalsRowFormula>+SUM(X10:X30)</totalsRowFormula>
    </tableColumn>
    <tableColumn id="22" xr3:uid="{3611490B-C294-4CCD-87DD-444717D1243B}" name="1-9-27" totalsRowFunction="custom" totalsRowDxfId="71">
      <totalsRowFormula>+SUM(Y10:Y30)</totalsRowFormula>
    </tableColumn>
    <tableColumn id="23" xr3:uid="{1B4B031A-8171-4053-B89F-C4309F3E7C53}" name="1-10-27" totalsRowFunction="custom" totalsRowDxfId="70">
      <totalsRowFormula>+SUM(Z10:Z30)</totalsRowFormula>
    </tableColumn>
    <tableColumn id="24" xr3:uid="{4603A4D2-CCFE-4B30-9482-188F11BF3FD9}" name="1-11-27" totalsRowFunction="custom" totalsRowDxfId="25">
      <totalsRowFormula>+SUM(AA10:AA30)</totalsRowFormula>
    </tableColumn>
    <tableColumn id="25" xr3:uid="{71C42837-A985-45B0-969B-FBB0475B7813}" name="1-12-27" totalsRowFunction="custom" totalsRowDxfId="24">
      <totalsRowFormula>+SUM(AB10:AB30)</totalsRowFormula>
    </tableColumn>
    <tableColumn id="26" xr3:uid="{F0C6DCB6-35A7-4B35-A11D-9421DE0AAE64}" name="1-1-28" totalsRowFunction="custom" totalsRowDxfId="23">
      <totalsRowFormula>+SUM(AC10:AC30)</totalsRowFormula>
    </tableColumn>
    <tableColumn id="27" xr3:uid="{B666CAD3-EC97-44F4-ADCE-943B25E6BDBB}" name="1-2-28" totalsRowFunction="custom" totalsRowDxfId="22">
      <totalsRowFormula>+SUM(AD10:AD30)</totalsRowFormula>
    </tableColumn>
    <tableColumn id="28" xr3:uid="{B9419DBF-3517-4FFB-B677-B566A24D62B4}" name="1-3-28" totalsRowFunction="custom" totalsRowDxfId="21">
      <totalsRowFormula>+SUM(AE10:AE30)</totalsRowFormula>
    </tableColumn>
    <tableColumn id="29" xr3:uid="{FE1DC970-EE26-42A6-8CF3-7E953BEAA149}" name="1-4-28" totalsRowFunction="custom" totalsRowDxfId="20">
      <totalsRowFormula>+SUM(AF10:AF30)</totalsRowFormula>
    </tableColumn>
    <tableColumn id="30" xr3:uid="{84865636-1C60-43BD-90E4-B432C676A1C4}" name="1-5-28" totalsRowFunction="custom" totalsRowDxfId="19">
      <totalsRowFormula>+SUM(AG10:AG30)</totalsRowFormula>
    </tableColumn>
    <tableColumn id="31" xr3:uid="{A4D169B4-17E6-4AEE-85D8-85E728FE5872}" name="1-6-28" totalsRowFunction="custom" totalsRowDxfId="18">
      <totalsRowFormula>+SUM(AH10:AH30)</totalsRowFormula>
    </tableColumn>
    <tableColumn id="32" xr3:uid="{8C187143-262F-4A73-B677-7C4295704F85}" name="1-7-28" totalsRowFunction="custom" totalsRowDxfId="17">
      <totalsRowFormula>+SUM(AI10:AI30)</totalsRowFormula>
    </tableColumn>
    <tableColumn id="33" xr3:uid="{FD4A3F64-6764-45AE-A7D8-4AAAF5C424A1}" name="1-8-28" totalsRowFunction="custom" totalsRowDxfId="16">
      <totalsRowFormula>+SUM(AJ10:AJ30)</totalsRowFormula>
    </tableColumn>
    <tableColumn id="34" xr3:uid="{AD7001FD-CDB7-4CA1-A82C-6DC11CCCCFEB}" name="1-9-28" totalsRowFunction="custom" totalsRowDxfId="15">
      <totalsRowFormula>+SUM(AK10:AK30)</totalsRowFormula>
    </tableColumn>
    <tableColumn id="35" xr3:uid="{A6A67EC8-AD07-49C4-8F03-1CEB9DEE3694}" name="1-10-28" totalsRowFunction="custom" totalsRowDxfId="14">
      <totalsRowFormula>+SUM(AL10:AL30)</totalsRowFormula>
    </tableColumn>
    <tableColumn id="36" xr3:uid="{B148BFA3-539C-4864-8180-FFF6BBC542E5}" name="1-11-28" totalsRowFunction="custom" totalsRowDxfId="13">
      <totalsRowFormula>+SUM(AM10:AM30)</totalsRowFormula>
    </tableColumn>
    <tableColumn id="37" xr3:uid="{B8BE09F0-3D91-47E0-AD98-DB6F4DA004F2}" name="1-12-28" totalsRowFunction="custom" totalsRowDxfId="12">
      <totalsRowFormula>+SUM(AN10:AN30)</totalsRowFormula>
    </tableColumn>
    <tableColumn id="40" xr3:uid="{1CF132D8-6736-49B1-AFF0-526D30DE8D13}" name="1-1-29" totalsRowFunction="custom" totalsRowDxfId="11">
      <totalsRowFormula>+SUM(AO10:AO30)</totalsRowFormula>
    </tableColumn>
    <tableColumn id="41" xr3:uid="{C4F5D00A-D6D1-44FE-B6B3-7E9053C9EA30}" name="1-2-29" totalsRowFunction="custom" totalsRowDxfId="10">
      <totalsRowFormula>+SUM(AP10:AP30)</totalsRowFormula>
    </tableColumn>
    <tableColumn id="42" xr3:uid="{71689B6E-55DC-4953-A5FA-2B8B2C3DF7BA}" name="1-3-29" totalsRowFunction="custom" totalsRowDxfId="9">
      <totalsRowFormula>+SUM(AQ10:AQ30)</totalsRowFormula>
    </tableColumn>
    <tableColumn id="43" xr3:uid="{31D60FED-7B6E-4A07-A5F1-D2BC10748C55}" name="1-4-29" totalsRowFunction="custom" totalsRowDxfId="8">
      <totalsRowFormula>+SUM(AR10:AR30)</totalsRowFormula>
    </tableColumn>
    <tableColumn id="44" xr3:uid="{9BA49ED6-20BC-44AE-B76C-8D5D2DDBBD31}" name="1-5-29" totalsRowFunction="custom" totalsRowDxfId="7">
      <totalsRowFormula>+SUM(AS10:AS30)</totalsRowFormula>
    </tableColumn>
    <tableColumn id="45" xr3:uid="{7EAB17C5-69C5-4D15-9441-C821CC334198}" name="1-6-29" totalsRowFunction="custom" totalsRowDxfId="6">
      <totalsRowFormula>+SUM(AT10:AT30)</totalsRowFormula>
    </tableColumn>
    <tableColumn id="46" xr3:uid="{AEFF5068-0C60-4553-AF57-2C6203B81031}" name="1-7-29" totalsRowFunction="custom" totalsRowDxfId="5">
      <totalsRowFormula>+SUM(AU10:AU30)</totalsRowFormula>
    </tableColumn>
    <tableColumn id="47" xr3:uid="{297455B2-FBA2-4947-BD07-62FD53E1566D}" name="1-8-29" totalsRowFunction="custom" totalsRowDxfId="4">
      <totalsRowFormula>+SUM(AV10:AV30)</totalsRowFormula>
    </tableColumn>
    <tableColumn id="48" xr3:uid="{2C378727-94D6-490D-8ACF-0DE4DD0FF4B9}" name="1-9-29" totalsRowFunction="custom" totalsRowDxfId="3">
      <totalsRowFormula>+SUM(AW10:AW30)</totalsRowFormula>
    </tableColumn>
    <tableColumn id="49" xr3:uid="{C8C0D89C-9CA4-4574-A51F-9DC54976F3B9}" name="1-10-29" totalsRowFunction="custom" totalsRowDxfId="2">
      <totalsRowFormula>+SUM(AX10:AX30)</totalsRowFormula>
    </tableColumn>
    <tableColumn id="50" xr3:uid="{79E57C80-B0F1-44DD-AD8F-93F495926A83}" name="1-11-29" totalsRowFunction="custom" totalsRowDxfId="1">
      <totalsRowFormula>+SUM(AY10:AY30)</totalsRowFormula>
    </tableColumn>
    <tableColumn id="51" xr3:uid="{231715D2-45F4-49CF-9E9F-16F1B3F0C195}" name="1-12-29" totalsRowFunction="custom" totalsRowDxfId="0">
      <totalsRowFormula>+SUM(AZ10:AZ30)</totalsRow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2" dT="2025-11-25T15:26:46.75" personId="{77FAF668-4FDA-4BFB-ABF4-2B900CB03C6D}" id="{FC41F126-C547-42C2-926D-A96699358CD6}">
    <text xml:space="preserve">Asana, bigquery, office, chat gpt, email, etc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Relationship Id="rId9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09CA-4DBD-491A-AD26-41F5BAD5FA04}">
  <dimension ref="A2:T82"/>
  <sheetViews>
    <sheetView topLeftCell="A21" workbookViewId="0">
      <selection activeCell="F16" sqref="F16"/>
    </sheetView>
  </sheetViews>
  <sheetFormatPr baseColWidth="10" defaultRowHeight="15" x14ac:dyDescent="0.25"/>
  <cols>
    <col min="1" max="1" width="16.5703125" bestFit="1" customWidth="1"/>
    <col min="2" max="2" width="12.85546875" bestFit="1" customWidth="1"/>
    <col min="4" max="4" width="12.5703125" bestFit="1" customWidth="1"/>
    <col min="5" max="5" width="16.5703125" bestFit="1" customWidth="1"/>
    <col min="6" max="6" width="15.28515625" customWidth="1"/>
    <col min="7" max="7" width="19.140625" customWidth="1"/>
    <col min="8" max="8" width="17.42578125" customWidth="1"/>
    <col min="9" max="9" width="10.28515625" customWidth="1"/>
  </cols>
  <sheetData>
    <row r="2" spans="1:11" x14ac:dyDescent="0.25">
      <c r="A2" t="s">
        <v>55</v>
      </c>
    </row>
    <row r="4" spans="1:11" x14ac:dyDescent="0.25">
      <c r="A4" s="5" t="s">
        <v>30</v>
      </c>
      <c r="B4" s="5" t="s">
        <v>32</v>
      </c>
    </row>
    <row r="5" spans="1:11" s="11" customFormat="1" ht="30" x14ac:dyDescent="0.25">
      <c r="A5" s="22" t="s">
        <v>28</v>
      </c>
      <c r="B5" s="23" t="s">
        <v>34</v>
      </c>
      <c r="C5" s="24" t="s">
        <v>56</v>
      </c>
      <c r="D5"/>
      <c r="E5"/>
    </row>
    <row r="6" spans="1:11" x14ac:dyDescent="0.25">
      <c r="A6" s="25">
        <v>2026</v>
      </c>
      <c r="B6" s="26">
        <v>35400</v>
      </c>
      <c r="C6" s="27"/>
    </row>
    <row r="7" spans="1:11" x14ac:dyDescent="0.25">
      <c r="A7" s="25">
        <v>2027</v>
      </c>
      <c r="B7" s="26">
        <v>112000</v>
      </c>
      <c r="C7" s="28">
        <f>+B7/B6-1</f>
        <v>2.1638418079096047</v>
      </c>
    </row>
    <row r="8" spans="1:11" x14ac:dyDescent="0.25">
      <c r="A8" s="25">
        <v>2028</v>
      </c>
      <c r="B8" s="26">
        <v>189000</v>
      </c>
      <c r="C8" s="28">
        <f>+B8/B7-1</f>
        <v>0.6875</v>
      </c>
      <c r="H8">
        <f>60000*0.25</f>
        <v>15000</v>
      </c>
    </row>
    <row r="12" spans="1:11" x14ac:dyDescent="0.25">
      <c r="A12" s="5" t="s">
        <v>30</v>
      </c>
      <c r="B12" s="5" t="s">
        <v>32</v>
      </c>
      <c r="H12" s="5" t="s">
        <v>30</v>
      </c>
      <c r="I12" s="5" t="s">
        <v>32</v>
      </c>
    </row>
    <row r="13" spans="1:11" s="11" customFormat="1" ht="60" x14ac:dyDescent="0.25">
      <c r="A13" s="22" t="s">
        <v>28</v>
      </c>
      <c r="B13" s="23" t="s">
        <v>34</v>
      </c>
      <c r="C13" s="23" t="s">
        <v>44</v>
      </c>
      <c r="D13" s="11" t="s">
        <v>29</v>
      </c>
      <c r="E13" s="11" t="s">
        <v>59</v>
      </c>
      <c r="H13" s="22" t="s">
        <v>28</v>
      </c>
      <c r="I13" s="23" t="s">
        <v>34</v>
      </c>
      <c r="J13" s="23" t="s">
        <v>44</v>
      </c>
      <c r="K13" s="11" t="s">
        <v>29</v>
      </c>
    </row>
    <row r="14" spans="1:11" x14ac:dyDescent="0.25">
      <c r="A14" s="25">
        <v>2026</v>
      </c>
      <c r="B14" s="26">
        <v>35400</v>
      </c>
      <c r="C14" s="26">
        <v>-21017</v>
      </c>
      <c r="D14" s="26">
        <v>14383</v>
      </c>
      <c r="E14">
        <f>+D14/B14</f>
        <v>0.40629943502824861</v>
      </c>
      <c r="F14">
        <f>+C14/B14</f>
        <v>-0.59370056497175139</v>
      </c>
      <c r="H14" s="25">
        <v>2026</v>
      </c>
      <c r="I14" s="26">
        <v>35400</v>
      </c>
      <c r="J14" s="26">
        <v>-21017</v>
      </c>
      <c r="K14" s="26">
        <v>14383</v>
      </c>
    </row>
    <row r="15" spans="1:11" x14ac:dyDescent="0.25">
      <c r="A15" s="25">
        <v>2027</v>
      </c>
      <c r="B15" s="26">
        <v>112000</v>
      </c>
      <c r="C15" s="26">
        <v>-60380</v>
      </c>
      <c r="D15" s="26">
        <v>51620</v>
      </c>
      <c r="E15">
        <f>+D15/B15</f>
        <v>0.46089285714285716</v>
      </c>
      <c r="F15">
        <f>+C15/B15</f>
        <v>-0.5391071428571429</v>
      </c>
      <c r="H15" s="25">
        <v>2027</v>
      </c>
      <c r="I15" s="26">
        <v>112000</v>
      </c>
      <c r="J15" s="26">
        <v>-60380</v>
      </c>
      <c r="K15" s="26">
        <v>51620</v>
      </c>
    </row>
    <row r="16" spans="1:11" x14ac:dyDescent="0.25">
      <c r="A16" s="25">
        <v>2028</v>
      </c>
      <c r="B16" s="26">
        <v>189000</v>
      </c>
      <c r="C16" s="26">
        <v>-72720</v>
      </c>
      <c r="D16" s="26">
        <v>116280</v>
      </c>
      <c r="E16">
        <f>+D16/B16</f>
        <v>0.61523809523809525</v>
      </c>
      <c r="F16">
        <f>+C16/B16</f>
        <v>-0.38476190476190475</v>
      </c>
      <c r="H16" s="25">
        <v>2028</v>
      </c>
      <c r="I16" s="26">
        <v>189000</v>
      </c>
      <c r="J16" s="26">
        <v>-72720</v>
      </c>
      <c r="K16" s="26">
        <v>116280</v>
      </c>
    </row>
    <row r="17" spans="1:11" x14ac:dyDescent="0.25">
      <c r="A17" s="6" t="s">
        <v>29</v>
      </c>
      <c r="B17" s="7">
        <v>336400</v>
      </c>
      <c r="C17" s="7">
        <v>-154117</v>
      </c>
      <c r="D17" s="7">
        <v>182283</v>
      </c>
      <c r="H17" s="6" t="s">
        <v>29</v>
      </c>
      <c r="I17" s="7">
        <v>336400</v>
      </c>
      <c r="J17" s="7">
        <v>-154117</v>
      </c>
      <c r="K17" s="7">
        <v>182283</v>
      </c>
    </row>
    <row r="18" spans="1:11" x14ac:dyDescent="0.25">
      <c r="A18" s="6"/>
      <c r="B18" s="7"/>
      <c r="C18" s="7"/>
      <c r="D18" s="7"/>
    </row>
    <row r="19" spans="1:11" x14ac:dyDescent="0.25">
      <c r="A19" s="6"/>
      <c r="B19" s="7"/>
      <c r="C19" s="7"/>
      <c r="D19" s="7"/>
    </row>
    <row r="20" spans="1:11" x14ac:dyDescent="0.25">
      <c r="A20" s="5" t="s">
        <v>33</v>
      </c>
      <c r="B20" t="s">
        <v>34</v>
      </c>
    </row>
    <row r="21" spans="1:11" x14ac:dyDescent="0.25">
      <c r="A21" t="s">
        <v>60</v>
      </c>
    </row>
    <row r="22" spans="1:11" x14ac:dyDescent="0.25">
      <c r="A22" s="5" t="s">
        <v>30</v>
      </c>
      <c r="B22" s="5" t="s">
        <v>32</v>
      </c>
    </row>
    <row r="23" spans="1:11" ht="45" x14ac:dyDescent="0.25">
      <c r="A23" s="5" t="s">
        <v>28</v>
      </c>
      <c r="B23" s="11" t="s">
        <v>0</v>
      </c>
      <c r="C23" s="11" t="s">
        <v>1</v>
      </c>
      <c r="D23" s="11" t="s">
        <v>31</v>
      </c>
      <c r="E23" s="11" t="s">
        <v>2</v>
      </c>
      <c r="F23" t="s">
        <v>29</v>
      </c>
    </row>
    <row r="24" spans="1:11" x14ac:dyDescent="0.25">
      <c r="A24" s="6">
        <v>2026</v>
      </c>
      <c r="B24" s="9">
        <v>0.74576271186440679</v>
      </c>
      <c r="C24" s="9">
        <v>0.21186440677966101</v>
      </c>
      <c r="D24" s="9">
        <v>4.2372881355932202E-2</v>
      </c>
      <c r="E24" s="9">
        <v>0</v>
      </c>
      <c r="F24" s="9">
        <v>1</v>
      </c>
    </row>
    <row r="25" spans="1:11" x14ac:dyDescent="0.25">
      <c r="A25" s="6">
        <v>2027</v>
      </c>
      <c r="B25" s="9">
        <v>0.6428571428571429</v>
      </c>
      <c r="C25" s="9">
        <v>0.32142857142857145</v>
      </c>
      <c r="D25" s="9">
        <v>3.5714285714285712E-2</v>
      </c>
      <c r="E25" s="9">
        <v>0</v>
      </c>
      <c r="F25" s="9">
        <v>1</v>
      </c>
    </row>
    <row r="26" spans="1:11" x14ac:dyDescent="0.25">
      <c r="A26" s="6">
        <v>2028</v>
      </c>
      <c r="B26" s="9">
        <v>0.38095238095238093</v>
      </c>
      <c r="C26" s="9">
        <v>0.3968253968253968</v>
      </c>
      <c r="D26" s="9">
        <v>3.1746031746031744E-2</v>
      </c>
      <c r="E26" s="9">
        <v>0.19047619047619047</v>
      </c>
      <c r="F26" s="9">
        <v>1</v>
      </c>
    </row>
    <row r="27" spans="1:11" x14ac:dyDescent="0.25">
      <c r="A27" s="6" t="s">
        <v>29</v>
      </c>
      <c r="B27" s="9">
        <v>0.50653983353151011</v>
      </c>
      <c r="C27" s="9">
        <v>0.35225921521997622</v>
      </c>
      <c r="D27" s="9">
        <v>3.4185493460166472E-2</v>
      </c>
      <c r="E27" s="9">
        <v>0.1070154577883472</v>
      </c>
      <c r="F27" s="9">
        <v>1</v>
      </c>
    </row>
    <row r="29" spans="1:11" x14ac:dyDescent="0.25">
      <c r="A29" s="6"/>
      <c r="B29" s="7"/>
      <c r="C29" s="7"/>
      <c r="D29" s="7"/>
    </row>
    <row r="30" spans="1:11" x14ac:dyDescent="0.25">
      <c r="A30" s="5" t="s">
        <v>33</v>
      </c>
      <c r="B30" t="s">
        <v>44</v>
      </c>
    </row>
    <row r="31" spans="1:11" x14ac:dyDescent="0.25">
      <c r="A31" t="s">
        <v>60</v>
      </c>
    </row>
    <row r="32" spans="1:11" x14ac:dyDescent="0.25">
      <c r="A32" s="5" t="s">
        <v>30</v>
      </c>
      <c r="B32" s="5" t="s">
        <v>32</v>
      </c>
    </row>
    <row r="33" spans="1:20" ht="45" x14ac:dyDescent="0.25">
      <c r="A33" s="5" t="s">
        <v>28</v>
      </c>
      <c r="B33" s="11" t="s">
        <v>53</v>
      </c>
      <c r="C33" s="11" t="s">
        <v>52</v>
      </c>
      <c r="D33" s="11" t="s">
        <v>62</v>
      </c>
      <c r="E33" s="11" t="s">
        <v>45</v>
      </c>
      <c r="F33" s="11" t="s">
        <v>36</v>
      </c>
      <c r="G33" t="s">
        <v>29</v>
      </c>
    </row>
    <row r="34" spans="1:20" x14ac:dyDescent="0.25">
      <c r="A34" s="6">
        <v>2026</v>
      </c>
      <c r="B34" s="9">
        <v>0.85644954084788505</v>
      </c>
      <c r="C34" s="9">
        <v>0</v>
      </c>
      <c r="D34" s="9">
        <v>5.7096636056525672E-2</v>
      </c>
      <c r="E34" s="9">
        <v>5.7905505067326453E-2</v>
      </c>
      <c r="F34" s="9">
        <v>2.8548318028262836E-2</v>
      </c>
      <c r="G34" s="9">
        <v>1</v>
      </c>
    </row>
    <row r="35" spans="1:20" x14ac:dyDescent="0.25">
      <c r="A35" s="6">
        <v>2027</v>
      </c>
      <c r="B35" s="9">
        <v>0.87943027492547199</v>
      </c>
      <c r="C35" s="9">
        <v>0</v>
      </c>
      <c r="D35" s="9">
        <v>6.3597217621729055E-2</v>
      </c>
      <c r="E35" s="9">
        <v>3.7098376946008614E-2</v>
      </c>
      <c r="F35" s="9">
        <v>1.9874130506790329E-2</v>
      </c>
      <c r="G35" s="9">
        <v>1</v>
      </c>
    </row>
    <row r="36" spans="1:20" x14ac:dyDescent="0.25">
      <c r="A36" s="6">
        <v>2028</v>
      </c>
      <c r="B36" s="9">
        <v>0.73019801980198018</v>
      </c>
      <c r="C36" s="9">
        <v>0.132013201320132</v>
      </c>
      <c r="D36" s="9">
        <v>5.2805280528052806E-2</v>
      </c>
      <c r="E36" s="9">
        <v>5.1980198019801978E-2</v>
      </c>
      <c r="F36" s="9">
        <v>3.3003300330033E-2</v>
      </c>
      <c r="G36" s="9">
        <v>1</v>
      </c>
    </row>
    <row r="37" spans="1:20" x14ac:dyDescent="0.25">
      <c r="A37" s="6" t="s">
        <v>29</v>
      </c>
      <c r="B37" s="9">
        <v>0.80588124606630029</v>
      </c>
      <c r="C37" s="9">
        <v>6.2290337860197123E-2</v>
      </c>
      <c r="D37" s="9">
        <v>5.7618562520682336E-2</v>
      </c>
      <c r="E37" s="9">
        <v>4.6957830738984019E-2</v>
      </c>
      <c r="F37" s="9">
        <v>2.7252022813836242E-2</v>
      </c>
      <c r="G37" s="9">
        <v>1</v>
      </c>
    </row>
    <row r="44" spans="1:20" x14ac:dyDescent="0.25">
      <c r="A44" t="s">
        <v>51</v>
      </c>
      <c r="D44" s="5" t="s">
        <v>30</v>
      </c>
      <c r="E44" s="5" t="s">
        <v>32</v>
      </c>
    </row>
    <row r="45" spans="1:20" s="11" customFormat="1" ht="60" x14ac:dyDescent="0.25">
      <c r="A45" s="15" t="s">
        <v>28</v>
      </c>
      <c r="B45" s="11" t="s">
        <v>30</v>
      </c>
      <c r="C45"/>
      <c r="D45" s="15" t="s">
        <v>28</v>
      </c>
      <c r="E45" s="11" t="s">
        <v>0</v>
      </c>
      <c r="F45" s="11" t="s">
        <v>1</v>
      </c>
      <c r="G45" s="11" t="s">
        <v>2</v>
      </c>
      <c r="H45" s="11" t="s">
        <v>31</v>
      </c>
      <c r="I45" s="11" t="s">
        <v>47</v>
      </c>
      <c r="J45" s="11" t="s">
        <v>42</v>
      </c>
      <c r="K45" s="11" t="s">
        <v>54</v>
      </c>
      <c r="L45" s="11" t="s">
        <v>40</v>
      </c>
      <c r="M45" s="11" t="s">
        <v>36</v>
      </c>
      <c r="N45" s="11" t="s">
        <v>50</v>
      </c>
      <c r="O45" s="11" t="s">
        <v>45</v>
      </c>
      <c r="P45" s="11" t="s">
        <v>62</v>
      </c>
      <c r="Q45" s="11" t="s">
        <v>52</v>
      </c>
      <c r="R45" s="11" t="s">
        <v>41</v>
      </c>
      <c r="S45" s="11" t="s">
        <v>53</v>
      </c>
      <c r="T45" s="11" t="s">
        <v>29</v>
      </c>
    </row>
    <row r="46" spans="1:20" x14ac:dyDescent="0.25">
      <c r="A46" s="21">
        <v>46023</v>
      </c>
      <c r="B46" s="7">
        <v>-3717</v>
      </c>
      <c r="D46" s="21">
        <v>46023</v>
      </c>
      <c r="E46" s="7">
        <v>0</v>
      </c>
      <c r="F46" s="7">
        <v>0</v>
      </c>
      <c r="G46" s="7"/>
      <c r="H46" s="7"/>
      <c r="I46" s="7">
        <v>-67</v>
      </c>
      <c r="J46" s="7">
        <v>0</v>
      </c>
      <c r="K46" s="7"/>
      <c r="L46" s="7">
        <v>-2000</v>
      </c>
      <c r="M46" s="7">
        <v>-50</v>
      </c>
      <c r="N46" s="7"/>
      <c r="O46" s="7">
        <v>0</v>
      </c>
      <c r="P46" s="7">
        <v>-100</v>
      </c>
      <c r="Q46" s="7">
        <v>0</v>
      </c>
      <c r="R46" s="7"/>
      <c r="S46" s="7">
        <v>-1500</v>
      </c>
      <c r="T46" s="7">
        <v>-3717</v>
      </c>
    </row>
    <row r="47" spans="1:20" x14ac:dyDescent="0.25">
      <c r="A47" s="21">
        <v>46054</v>
      </c>
      <c r="B47" s="7">
        <v>-5434</v>
      </c>
      <c r="D47" s="21">
        <v>46054</v>
      </c>
      <c r="E47" s="7">
        <v>0</v>
      </c>
      <c r="F47" s="7">
        <v>0</v>
      </c>
      <c r="G47" s="7"/>
      <c r="H47" s="7"/>
      <c r="I47" s="7">
        <v>-67</v>
      </c>
      <c r="J47" s="7">
        <v>0</v>
      </c>
      <c r="K47" s="7"/>
      <c r="L47" s="7"/>
      <c r="M47" s="7">
        <v>-50</v>
      </c>
      <c r="N47" s="7"/>
      <c r="O47" s="7">
        <v>0</v>
      </c>
      <c r="P47" s="7">
        <v>-100</v>
      </c>
      <c r="Q47" s="7">
        <v>0</v>
      </c>
      <c r="R47" s="7"/>
      <c r="S47" s="7">
        <v>-1500</v>
      </c>
      <c r="T47" s="7">
        <v>-1717</v>
      </c>
    </row>
    <row r="48" spans="1:20" x14ac:dyDescent="0.25">
      <c r="A48" s="21">
        <v>46082</v>
      </c>
      <c r="B48" s="7">
        <v>-7151</v>
      </c>
      <c r="D48" s="21">
        <v>46082</v>
      </c>
      <c r="E48" s="7">
        <v>0</v>
      </c>
      <c r="F48" s="7">
        <v>0</v>
      </c>
      <c r="G48" s="7"/>
      <c r="H48" s="7"/>
      <c r="I48" s="7">
        <v>-67</v>
      </c>
      <c r="J48" s="7">
        <v>0</v>
      </c>
      <c r="K48" s="7"/>
      <c r="L48" s="7"/>
      <c r="M48" s="7">
        <v>-50</v>
      </c>
      <c r="N48" s="7"/>
      <c r="O48" s="7">
        <v>0</v>
      </c>
      <c r="P48" s="7">
        <v>-100</v>
      </c>
      <c r="Q48" s="7">
        <v>0</v>
      </c>
      <c r="R48" s="7"/>
      <c r="S48" s="7">
        <v>-1500</v>
      </c>
      <c r="T48" s="7">
        <v>-1717</v>
      </c>
    </row>
    <row r="49" spans="1:20" x14ac:dyDescent="0.25">
      <c r="A49" s="21">
        <v>46113</v>
      </c>
      <c r="B49" s="7">
        <v>-11113</v>
      </c>
      <c r="D49" s="21">
        <v>46113</v>
      </c>
      <c r="E49" s="7">
        <v>2400</v>
      </c>
      <c r="F49" s="7">
        <v>0</v>
      </c>
      <c r="G49" s="7"/>
      <c r="H49" s="7">
        <v>500</v>
      </c>
      <c r="I49" s="7">
        <v>-67</v>
      </c>
      <c r="J49" s="7">
        <v>0</v>
      </c>
      <c r="K49" s="7"/>
      <c r="L49" s="7">
        <v>-2000</v>
      </c>
      <c r="M49" s="7">
        <v>-50</v>
      </c>
      <c r="N49" s="7">
        <v>-3000</v>
      </c>
      <c r="O49" s="7">
        <v>-145</v>
      </c>
      <c r="P49" s="7">
        <v>-100</v>
      </c>
      <c r="Q49" s="7">
        <v>0</v>
      </c>
      <c r="R49" s="7"/>
      <c r="S49" s="7">
        <v>-1500</v>
      </c>
      <c r="T49" s="7">
        <v>-3962</v>
      </c>
    </row>
    <row r="50" spans="1:20" x14ac:dyDescent="0.25">
      <c r="A50" s="21">
        <v>46143</v>
      </c>
      <c r="B50" s="7">
        <v>-10550</v>
      </c>
      <c r="D50" s="21">
        <v>46143</v>
      </c>
      <c r="E50" s="7">
        <v>2400</v>
      </c>
      <c r="F50" s="7">
        <v>0</v>
      </c>
      <c r="G50" s="7"/>
      <c r="H50" s="7"/>
      <c r="I50" s="7">
        <v>-67</v>
      </c>
      <c r="J50" s="7">
        <v>0</v>
      </c>
      <c r="K50" s="7"/>
      <c r="L50" s="7"/>
      <c r="M50" s="7">
        <v>-50</v>
      </c>
      <c r="N50" s="7"/>
      <c r="O50" s="7">
        <v>-120</v>
      </c>
      <c r="P50" s="7">
        <v>-100</v>
      </c>
      <c r="Q50" s="7">
        <v>0</v>
      </c>
      <c r="R50" s="7"/>
      <c r="S50" s="7">
        <v>-1500</v>
      </c>
      <c r="T50" s="7">
        <v>563</v>
      </c>
    </row>
    <row r="51" spans="1:20" x14ac:dyDescent="0.25">
      <c r="A51" s="21">
        <v>46174</v>
      </c>
      <c r="B51" s="7">
        <v>-9987</v>
      </c>
      <c r="D51" s="21">
        <v>46174</v>
      </c>
      <c r="E51" s="7">
        <v>2400</v>
      </c>
      <c r="F51" s="7">
        <v>0</v>
      </c>
      <c r="G51" s="7"/>
      <c r="H51" s="7"/>
      <c r="I51" s="7">
        <v>-67</v>
      </c>
      <c r="J51" s="7">
        <v>0</v>
      </c>
      <c r="K51" s="7"/>
      <c r="L51" s="7"/>
      <c r="M51" s="7">
        <v>-50</v>
      </c>
      <c r="N51" s="7"/>
      <c r="O51" s="7">
        <v>-120</v>
      </c>
      <c r="P51" s="7">
        <v>-100</v>
      </c>
      <c r="Q51" s="7">
        <v>0</v>
      </c>
      <c r="R51" s="7"/>
      <c r="S51" s="7">
        <v>-1500</v>
      </c>
      <c r="T51" s="7">
        <v>563</v>
      </c>
    </row>
    <row r="52" spans="1:20" x14ac:dyDescent="0.25">
      <c r="A52" s="21">
        <v>46204</v>
      </c>
      <c r="B52" s="7">
        <v>-6558</v>
      </c>
      <c r="D52" s="21">
        <v>46204</v>
      </c>
      <c r="E52" s="7">
        <v>4200</v>
      </c>
      <c r="F52" s="7">
        <v>3750</v>
      </c>
      <c r="G52" s="7"/>
      <c r="H52" s="7">
        <v>500</v>
      </c>
      <c r="I52" s="7">
        <v>-67</v>
      </c>
      <c r="J52" s="7">
        <v>-50</v>
      </c>
      <c r="K52" s="7"/>
      <c r="L52" s="7"/>
      <c r="M52" s="7">
        <v>-50</v>
      </c>
      <c r="N52" s="7">
        <v>-3000</v>
      </c>
      <c r="O52" s="7">
        <v>-254</v>
      </c>
      <c r="P52" s="7">
        <v>-100</v>
      </c>
      <c r="Q52" s="7">
        <v>0</v>
      </c>
      <c r="R52" s="7"/>
      <c r="S52" s="7">
        <v>-1500</v>
      </c>
      <c r="T52" s="7">
        <v>3429</v>
      </c>
    </row>
    <row r="53" spans="1:20" x14ac:dyDescent="0.25">
      <c r="A53" s="21">
        <v>46235</v>
      </c>
      <c r="B53" s="7">
        <v>-7161</v>
      </c>
      <c r="D53" s="21">
        <v>46235</v>
      </c>
      <c r="E53" s="7">
        <v>1200</v>
      </c>
      <c r="F53" s="7">
        <v>0</v>
      </c>
      <c r="G53" s="7"/>
      <c r="H53" s="7"/>
      <c r="I53" s="7">
        <v>-67</v>
      </c>
      <c r="J53" s="7">
        <v>-50</v>
      </c>
      <c r="K53" s="7"/>
      <c r="L53" s="7"/>
      <c r="M53" s="7">
        <v>-50</v>
      </c>
      <c r="N53" s="7"/>
      <c r="O53" s="7">
        <v>-36</v>
      </c>
      <c r="P53" s="7">
        <v>-100</v>
      </c>
      <c r="Q53" s="7">
        <v>0</v>
      </c>
      <c r="R53" s="7"/>
      <c r="S53" s="7">
        <v>-1500</v>
      </c>
      <c r="T53" s="7">
        <v>-603</v>
      </c>
    </row>
    <row r="54" spans="1:20" x14ac:dyDescent="0.25">
      <c r="A54" s="21">
        <v>46266</v>
      </c>
      <c r="B54" s="7">
        <v>-4854</v>
      </c>
      <c r="D54" s="21">
        <v>46266</v>
      </c>
      <c r="E54" s="7">
        <v>4200</v>
      </c>
      <c r="F54" s="7">
        <v>0</v>
      </c>
      <c r="G54" s="7"/>
      <c r="H54" s="7"/>
      <c r="I54" s="7">
        <v>-67</v>
      </c>
      <c r="J54" s="7">
        <v>-50</v>
      </c>
      <c r="K54" s="7"/>
      <c r="L54" s="7"/>
      <c r="M54" s="7">
        <v>-50</v>
      </c>
      <c r="N54" s="7"/>
      <c r="O54" s="7">
        <v>-126</v>
      </c>
      <c r="P54" s="7">
        <v>-100</v>
      </c>
      <c r="Q54" s="7">
        <v>0</v>
      </c>
      <c r="R54" s="7"/>
      <c r="S54" s="7">
        <v>-1500</v>
      </c>
      <c r="T54" s="7">
        <v>2307</v>
      </c>
    </row>
    <row r="55" spans="1:20" x14ac:dyDescent="0.25">
      <c r="A55" s="21">
        <v>46296</v>
      </c>
      <c r="B55" s="7">
        <v>1575</v>
      </c>
      <c r="D55" s="21">
        <v>46296</v>
      </c>
      <c r="E55" s="7">
        <v>4200</v>
      </c>
      <c r="F55" s="7">
        <v>3750</v>
      </c>
      <c r="G55" s="7"/>
      <c r="H55" s="7">
        <v>500</v>
      </c>
      <c r="I55" s="7">
        <v>-67</v>
      </c>
      <c r="J55" s="7">
        <v>-50</v>
      </c>
      <c r="K55" s="7"/>
      <c r="L55" s="7"/>
      <c r="M55" s="7">
        <v>-50</v>
      </c>
      <c r="N55" s="7"/>
      <c r="O55" s="7">
        <v>-254</v>
      </c>
      <c r="P55" s="7">
        <v>-100</v>
      </c>
      <c r="Q55" s="7">
        <v>0</v>
      </c>
      <c r="R55" s="7"/>
      <c r="S55" s="7">
        <v>-1500</v>
      </c>
      <c r="T55" s="7">
        <v>6429</v>
      </c>
    </row>
    <row r="56" spans="1:20" x14ac:dyDescent="0.25">
      <c r="A56" s="21">
        <v>46327</v>
      </c>
      <c r="B56" s="7">
        <v>3882</v>
      </c>
      <c r="D56" s="21">
        <v>46327</v>
      </c>
      <c r="E56" s="7">
        <v>4200</v>
      </c>
      <c r="F56" s="7">
        <v>0</v>
      </c>
      <c r="G56" s="7"/>
      <c r="H56" s="7"/>
      <c r="I56" s="7">
        <v>-67</v>
      </c>
      <c r="J56" s="7">
        <v>-50</v>
      </c>
      <c r="K56" s="7"/>
      <c r="L56" s="7"/>
      <c r="M56" s="7">
        <v>-50</v>
      </c>
      <c r="N56" s="7"/>
      <c r="O56" s="7">
        <v>-126</v>
      </c>
      <c r="P56" s="7">
        <v>-100</v>
      </c>
      <c r="Q56" s="7">
        <v>0</v>
      </c>
      <c r="R56" s="7"/>
      <c r="S56" s="7">
        <v>-1500</v>
      </c>
      <c r="T56" s="7">
        <v>2307</v>
      </c>
    </row>
    <row r="57" spans="1:20" x14ac:dyDescent="0.25">
      <c r="A57" s="21">
        <v>46357</v>
      </c>
      <c r="B57" s="7">
        <v>3279</v>
      </c>
      <c r="D57" s="21">
        <v>46357</v>
      </c>
      <c r="E57" s="7">
        <v>1200</v>
      </c>
      <c r="F57" s="7">
        <v>0</v>
      </c>
      <c r="G57" s="7"/>
      <c r="H57" s="7"/>
      <c r="I57" s="7">
        <v>-67</v>
      </c>
      <c r="J57" s="7">
        <v>-50</v>
      </c>
      <c r="K57" s="7"/>
      <c r="L57" s="7"/>
      <c r="M57" s="7">
        <v>-50</v>
      </c>
      <c r="N57" s="7"/>
      <c r="O57" s="7">
        <v>-36</v>
      </c>
      <c r="P57" s="7">
        <v>-100</v>
      </c>
      <c r="Q57" s="7">
        <v>0</v>
      </c>
      <c r="R57" s="7"/>
      <c r="S57" s="7">
        <v>-1500</v>
      </c>
      <c r="T57" s="7">
        <v>-603</v>
      </c>
    </row>
    <row r="58" spans="1:20" x14ac:dyDescent="0.25">
      <c r="A58" s="21">
        <v>46388</v>
      </c>
      <c r="B58" s="7">
        <v>12123</v>
      </c>
      <c r="D58" s="21">
        <v>46388</v>
      </c>
      <c r="E58" s="7">
        <v>7200</v>
      </c>
      <c r="F58" s="7">
        <v>9000</v>
      </c>
      <c r="G58" s="7"/>
      <c r="H58" s="7">
        <v>1000</v>
      </c>
      <c r="I58" s="7">
        <v>-67</v>
      </c>
      <c r="J58" s="7">
        <v>-100</v>
      </c>
      <c r="K58" s="7">
        <v>-3000</v>
      </c>
      <c r="L58" s="7"/>
      <c r="M58" s="7">
        <v>-100</v>
      </c>
      <c r="N58" s="7"/>
      <c r="O58" s="7">
        <v>-344</v>
      </c>
      <c r="P58" s="7">
        <v>-320</v>
      </c>
      <c r="Q58" s="7">
        <v>0</v>
      </c>
      <c r="R58" s="7"/>
      <c r="S58" s="7">
        <v>-4425</v>
      </c>
      <c r="T58" s="7">
        <v>8844</v>
      </c>
    </row>
    <row r="59" spans="1:20" x14ac:dyDescent="0.25">
      <c r="A59" s="21">
        <v>46419</v>
      </c>
      <c r="B59" s="7">
        <v>14167</v>
      </c>
      <c r="D59" s="21">
        <v>46419</v>
      </c>
      <c r="E59" s="7">
        <v>7200</v>
      </c>
      <c r="F59" s="7">
        <v>0</v>
      </c>
      <c r="G59" s="7"/>
      <c r="H59" s="7"/>
      <c r="I59" s="7">
        <v>-67</v>
      </c>
      <c r="J59" s="7">
        <v>-100</v>
      </c>
      <c r="K59" s="7"/>
      <c r="L59" s="7"/>
      <c r="M59" s="7">
        <v>-100</v>
      </c>
      <c r="N59" s="7"/>
      <c r="O59" s="7">
        <v>-144</v>
      </c>
      <c r="P59" s="7">
        <v>-320</v>
      </c>
      <c r="Q59" s="7">
        <v>0</v>
      </c>
      <c r="R59" s="7"/>
      <c r="S59" s="7">
        <v>-4425</v>
      </c>
      <c r="T59" s="7">
        <v>2044</v>
      </c>
    </row>
    <row r="60" spans="1:20" x14ac:dyDescent="0.25">
      <c r="A60" s="21">
        <v>46447</v>
      </c>
      <c r="B60" s="7">
        <v>16211</v>
      </c>
      <c r="D60" s="21">
        <v>46447</v>
      </c>
      <c r="E60" s="7">
        <v>7200</v>
      </c>
      <c r="F60" s="7">
        <v>0</v>
      </c>
      <c r="G60" s="7"/>
      <c r="H60" s="7"/>
      <c r="I60" s="7">
        <v>-67</v>
      </c>
      <c r="J60" s="7">
        <v>-100</v>
      </c>
      <c r="K60" s="7"/>
      <c r="L60" s="7"/>
      <c r="M60" s="7">
        <v>-100</v>
      </c>
      <c r="N60" s="7"/>
      <c r="O60" s="7">
        <v>-144</v>
      </c>
      <c r="P60" s="7">
        <v>-320</v>
      </c>
      <c r="Q60" s="7">
        <v>0</v>
      </c>
      <c r="R60" s="7"/>
      <c r="S60" s="7">
        <v>-4425</v>
      </c>
      <c r="T60" s="7">
        <v>2044</v>
      </c>
    </row>
    <row r="61" spans="1:20" x14ac:dyDescent="0.25">
      <c r="A61" s="21">
        <v>46478</v>
      </c>
      <c r="B61" s="7">
        <v>28055</v>
      </c>
      <c r="D61" s="21">
        <v>46478</v>
      </c>
      <c r="E61" s="7">
        <v>7200</v>
      </c>
      <c r="F61" s="7">
        <v>9000</v>
      </c>
      <c r="G61" s="7"/>
      <c r="H61" s="7">
        <v>1000</v>
      </c>
      <c r="I61" s="7">
        <v>-67</v>
      </c>
      <c r="J61" s="7">
        <v>-100</v>
      </c>
      <c r="K61" s="7"/>
      <c r="L61" s="7"/>
      <c r="M61" s="7">
        <v>-100</v>
      </c>
      <c r="N61" s="7"/>
      <c r="O61" s="7">
        <v>-344</v>
      </c>
      <c r="P61" s="7">
        <v>-320</v>
      </c>
      <c r="Q61" s="7">
        <v>0</v>
      </c>
      <c r="R61" s="7"/>
      <c r="S61" s="7">
        <v>-4425</v>
      </c>
      <c r="T61" s="7">
        <v>11844</v>
      </c>
    </row>
    <row r="62" spans="1:20" x14ac:dyDescent="0.25">
      <c r="A62" s="21">
        <v>46508</v>
      </c>
      <c r="B62" s="7">
        <v>30099</v>
      </c>
      <c r="D62" s="21">
        <v>46508</v>
      </c>
      <c r="E62" s="7">
        <v>7200</v>
      </c>
      <c r="F62" s="7">
        <v>0</v>
      </c>
      <c r="G62" s="7"/>
      <c r="H62" s="7"/>
      <c r="I62" s="7">
        <v>-67</v>
      </c>
      <c r="J62" s="7">
        <v>-100</v>
      </c>
      <c r="K62" s="7"/>
      <c r="L62" s="7"/>
      <c r="M62" s="7">
        <v>-100</v>
      </c>
      <c r="N62" s="7"/>
      <c r="O62" s="7">
        <v>-144</v>
      </c>
      <c r="P62" s="7">
        <v>-320</v>
      </c>
      <c r="Q62" s="7">
        <v>0</v>
      </c>
      <c r="R62" s="7"/>
      <c r="S62" s="7">
        <v>-4425</v>
      </c>
      <c r="T62" s="7">
        <v>2044</v>
      </c>
    </row>
    <row r="63" spans="1:20" x14ac:dyDescent="0.25">
      <c r="A63" s="21">
        <v>46539</v>
      </c>
      <c r="B63" s="7">
        <v>15476</v>
      </c>
      <c r="D63" s="21">
        <v>46539</v>
      </c>
      <c r="E63" s="7">
        <v>7200</v>
      </c>
      <c r="F63" s="7">
        <v>0</v>
      </c>
      <c r="G63" s="7"/>
      <c r="H63" s="7"/>
      <c r="I63" s="7">
        <v>-67</v>
      </c>
      <c r="J63" s="7">
        <v>-100</v>
      </c>
      <c r="K63" s="7"/>
      <c r="L63" s="7"/>
      <c r="M63" s="7">
        <v>-100</v>
      </c>
      <c r="N63" s="7"/>
      <c r="O63" s="7">
        <v>-144</v>
      </c>
      <c r="P63" s="7">
        <v>-320</v>
      </c>
      <c r="Q63" s="7">
        <v>0</v>
      </c>
      <c r="R63" s="7">
        <v>-16667</v>
      </c>
      <c r="S63" s="7">
        <v>-4425</v>
      </c>
      <c r="T63" s="7">
        <v>-14623</v>
      </c>
    </row>
    <row r="64" spans="1:20" x14ac:dyDescent="0.25">
      <c r="A64" s="21">
        <v>46569</v>
      </c>
      <c r="B64" s="7">
        <v>20264</v>
      </c>
      <c r="D64" s="21">
        <v>46569</v>
      </c>
      <c r="E64" s="7">
        <v>0</v>
      </c>
      <c r="F64" s="7">
        <v>9000</v>
      </c>
      <c r="G64" s="7"/>
      <c r="H64" s="7">
        <v>1000</v>
      </c>
      <c r="I64" s="7">
        <v>-67</v>
      </c>
      <c r="J64" s="7">
        <v>-100</v>
      </c>
      <c r="K64" s="7"/>
      <c r="L64" s="7"/>
      <c r="M64" s="7">
        <v>-100</v>
      </c>
      <c r="N64" s="7"/>
      <c r="O64" s="7">
        <v>-200</v>
      </c>
      <c r="P64" s="7">
        <v>-320</v>
      </c>
      <c r="Q64" s="7">
        <v>0</v>
      </c>
      <c r="R64" s="7">
        <v>0</v>
      </c>
      <c r="S64" s="7">
        <v>-4425</v>
      </c>
      <c r="T64" s="7">
        <v>4788</v>
      </c>
    </row>
    <row r="65" spans="1:20" x14ac:dyDescent="0.25">
      <c r="A65" s="21">
        <v>46600</v>
      </c>
      <c r="B65" s="7">
        <v>22308</v>
      </c>
      <c r="D65" s="21">
        <v>46600</v>
      </c>
      <c r="E65" s="7">
        <v>7200</v>
      </c>
      <c r="F65" s="7">
        <v>0</v>
      </c>
      <c r="G65" s="7"/>
      <c r="H65" s="7"/>
      <c r="I65" s="7">
        <v>-67</v>
      </c>
      <c r="J65" s="7">
        <v>-100</v>
      </c>
      <c r="K65" s="7"/>
      <c r="L65" s="7"/>
      <c r="M65" s="7">
        <v>-100</v>
      </c>
      <c r="N65" s="7"/>
      <c r="O65" s="7">
        <v>-144</v>
      </c>
      <c r="P65" s="7">
        <v>-320</v>
      </c>
      <c r="Q65" s="7">
        <v>0</v>
      </c>
      <c r="R65" s="7">
        <v>0</v>
      </c>
      <c r="S65" s="7">
        <v>-4425</v>
      </c>
      <c r="T65" s="7">
        <v>2044</v>
      </c>
    </row>
    <row r="66" spans="1:20" x14ac:dyDescent="0.25">
      <c r="A66" s="21">
        <v>46631</v>
      </c>
      <c r="B66" s="7">
        <v>24352</v>
      </c>
      <c r="D66" s="21">
        <v>46631</v>
      </c>
      <c r="E66" s="7">
        <v>7200</v>
      </c>
      <c r="F66" s="7">
        <v>0</v>
      </c>
      <c r="G66" s="7"/>
      <c r="H66" s="7"/>
      <c r="I66" s="7">
        <v>-67</v>
      </c>
      <c r="J66" s="7">
        <v>-100</v>
      </c>
      <c r="K66" s="7"/>
      <c r="L66" s="7"/>
      <c r="M66" s="7">
        <v>-100</v>
      </c>
      <c r="N66" s="7"/>
      <c r="O66" s="7">
        <v>-144</v>
      </c>
      <c r="P66" s="7">
        <v>-320</v>
      </c>
      <c r="Q66" s="7">
        <v>0</v>
      </c>
      <c r="R66" s="7">
        <v>0</v>
      </c>
      <c r="S66" s="7">
        <v>-4425</v>
      </c>
      <c r="T66" s="7">
        <v>2044</v>
      </c>
    </row>
    <row r="67" spans="1:20" x14ac:dyDescent="0.25">
      <c r="A67" s="21">
        <v>46661</v>
      </c>
      <c r="B67" s="7">
        <v>19529</v>
      </c>
      <c r="D67" s="21">
        <v>46661</v>
      </c>
      <c r="E67" s="7">
        <v>7200</v>
      </c>
      <c r="F67" s="7">
        <v>9000</v>
      </c>
      <c r="G67" s="7"/>
      <c r="H67" s="7">
        <v>1000</v>
      </c>
      <c r="I67" s="7">
        <v>-67</v>
      </c>
      <c r="J67" s="7">
        <v>-100</v>
      </c>
      <c r="K67" s="7"/>
      <c r="L67" s="7"/>
      <c r="M67" s="7">
        <v>-100</v>
      </c>
      <c r="N67" s="7"/>
      <c r="O67" s="7">
        <v>-344</v>
      </c>
      <c r="P67" s="7">
        <v>-320</v>
      </c>
      <c r="Q67" s="7">
        <v>0</v>
      </c>
      <c r="R67" s="7">
        <v>-16667</v>
      </c>
      <c r="S67" s="7">
        <v>-4425</v>
      </c>
      <c r="T67" s="7">
        <v>-4823</v>
      </c>
    </row>
    <row r="68" spans="1:20" x14ac:dyDescent="0.25">
      <c r="A68" s="21">
        <v>46692</v>
      </c>
      <c r="B68" s="7">
        <v>21573</v>
      </c>
      <c r="D68" s="21">
        <v>46692</v>
      </c>
      <c r="E68" s="7">
        <v>7200</v>
      </c>
      <c r="F68" s="7">
        <v>0</v>
      </c>
      <c r="G68" s="7"/>
      <c r="H68" s="7"/>
      <c r="I68" s="7">
        <v>-67</v>
      </c>
      <c r="J68" s="7">
        <v>-100</v>
      </c>
      <c r="K68" s="7"/>
      <c r="L68" s="7"/>
      <c r="M68" s="7">
        <v>-100</v>
      </c>
      <c r="N68" s="7"/>
      <c r="O68" s="7">
        <v>-144</v>
      </c>
      <c r="P68" s="7">
        <v>-320</v>
      </c>
      <c r="Q68" s="7">
        <v>0</v>
      </c>
      <c r="R68" s="7">
        <v>0</v>
      </c>
      <c r="S68" s="7">
        <v>-4425</v>
      </c>
      <c r="T68" s="7">
        <v>2044</v>
      </c>
    </row>
    <row r="69" spans="1:20" x14ac:dyDescent="0.25">
      <c r="A69" s="21">
        <v>46722</v>
      </c>
      <c r="B69" s="7">
        <v>16561</v>
      </c>
      <c r="D69" s="21">
        <v>46722</v>
      </c>
      <c r="E69" s="7">
        <v>0</v>
      </c>
      <c r="F69" s="7">
        <v>0</v>
      </c>
      <c r="G69" s="7"/>
      <c r="H69" s="7"/>
      <c r="I69" s="7">
        <v>-67</v>
      </c>
      <c r="J69" s="7">
        <v>-100</v>
      </c>
      <c r="K69" s="7"/>
      <c r="L69" s="7"/>
      <c r="M69" s="7">
        <v>-100</v>
      </c>
      <c r="N69" s="7"/>
      <c r="O69" s="7">
        <v>0</v>
      </c>
      <c r="P69" s="7">
        <v>-320</v>
      </c>
      <c r="Q69" s="7">
        <v>0</v>
      </c>
      <c r="R69" s="7">
        <v>0</v>
      </c>
      <c r="S69" s="7">
        <v>-4425</v>
      </c>
      <c r="T69" s="7">
        <v>-5012</v>
      </c>
    </row>
    <row r="70" spans="1:20" x14ac:dyDescent="0.25">
      <c r="A70" s="21">
        <v>46753</v>
      </c>
      <c r="B70" s="7">
        <v>23823</v>
      </c>
      <c r="D70" s="21">
        <v>46753</v>
      </c>
      <c r="E70" s="7">
        <v>7200</v>
      </c>
      <c r="F70" s="7">
        <v>18750</v>
      </c>
      <c r="G70" s="7">
        <v>3000</v>
      </c>
      <c r="H70" s="7">
        <v>1500</v>
      </c>
      <c r="I70" s="7">
        <v>-67</v>
      </c>
      <c r="J70" s="7">
        <v>-100</v>
      </c>
      <c r="K70" s="7"/>
      <c r="L70" s="7"/>
      <c r="M70" s="7">
        <v>-200</v>
      </c>
      <c r="N70" s="7"/>
      <c r="O70" s="7">
        <v>-609</v>
      </c>
      <c r="P70" s="7">
        <v>-320</v>
      </c>
      <c r="Q70" s="7">
        <v>-800</v>
      </c>
      <c r="R70" s="7">
        <v>-16667</v>
      </c>
      <c r="S70" s="7">
        <v>-4425</v>
      </c>
      <c r="T70" s="7">
        <v>7262</v>
      </c>
    </row>
    <row r="71" spans="1:20" x14ac:dyDescent="0.25">
      <c r="A71" s="21">
        <v>46784</v>
      </c>
      <c r="B71" s="7">
        <v>27907</v>
      </c>
      <c r="D71" s="21">
        <v>46784</v>
      </c>
      <c r="E71" s="7">
        <v>7200</v>
      </c>
      <c r="F71" s="7">
        <v>0</v>
      </c>
      <c r="G71" s="7">
        <v>3000</v>
      </c>
      <c r="H71" s="7"/>
      <c r="I71" s="7">
        <v>-67</v>
      </c>
      <c r="J71" s="7">
        <v>-100</v>
      </c>
      <c r="K71" s="7"/>
      <c r="L71" s="7"/>
      <c r="M71" s="7">
        <v>-200</v>
      </c>
      <c r="N71" s="7"/>
      <c r="O71" s="7">
        <v>-204</v>
      </c>
      <c r="P71" s="7">
        <v>-320</v>
      </c>
      <c r="Q71" s="7">
        <v>-800</v>
      </c>
      <c r="R71" s="7">
        <v>0</v>
      </c>
      <c r="S71" s="7">
        <v>-4425</v>
      </c>
      <c r="T71" s="7">
        <v>4084</v>
      </c>
    </row>
    <row r="72" spans="1:20" x14ac:dyDescent="0.25">
      <c r="A72" s="21">
        <v>46813</v>
      </c>
      <c r="B72" s="7">
        <v>31991</v>
      </c>
      <c r="D72" s="21">
        <v>46813</v>
      </c>
      <c r="E72" s="7">
        <v>7200</v>
      </c>
      <c r="F72" s="7">
        <v>0</v>
      </c>
      <c r="G72" s="7">
        <v>3000</v>
      </c>
      <c r="H72" s="7"/>
      <c r="I72" s="7">
        <v>-67</v>
      </c>
      <c r="J72" s="7">
        <v>-100</v>
      </c>
      <c r="K72" s="7"/>
      <c r="L72" s="7"/>
      <c r="M72" s="7">
        <v>-200</v>
      </c>
      <c r="N72" s="7"/>
      <c r="O72" s="7">
        <v>-204</v>
      </c>
      <c r="P72" s="7">
        <v>-320</v>
      </c>
      <c r="Q72" s="7">
        <v>-800</v>
      </c>
      <c r="R72" s="7">
        <v>0</v>
      </c>
      <c r="S72" s="7">
        <v>-4425</v>
      </c>
      <c r="T72" s="7">
        <v>4084</v>
      </c>
    </row>
    <row r="73" spans="1:20" x14ac:dyDescent="0.25">
      <c r="A73" s="21">
        <v>46844</v>
      </c>
      <c r="B73" s="7">
        <v>39253</v>
      </c>
      <c r="D73" s="21">
        <v>46844</v>
      </c>
      <c r="E73" s="7">
        <v>7200</v>
      </c>
      <c r="F73" s="7">
        <v>18750</v>
      </c>
      <c r="G73" s="7">
        <v>3000</v>
      </c>
      <c r="H73" s="7">
        <v>1500</v>
      </c>
      <c r="I73" s="7">
        <v>-67</v>
      </c>
      <c r="J73" s="7">
        <v>-100</v>
      </c>
      <c r="K73" s="7"/>
      <c r="L73" s="7"/>
      <c r="M73" s="7">
        <v>-200</v>
      </c>
      <c r="N73" s="7"/>
      <c r="O73" s="7">
        <v>-609</v>
      </c>
      <c r="P73" s="7">
        <v>-320</v>
      </c>
      <c r="Q73" s="7">
        <v>-800</v>
      </c>
      <c r="R73" s="7">
        <v>-16667</v>
      </c>
      <c r="S73" s="7">
        <v>-4425</v>
      </c>
      <c r="T73" s="7">
        <v>7262</v>
      </c>
    </row>
    <row r="74" spans="1:20" x14ac:dyDescent="0.25">
      <c r="A74" s="21">
        <v>46874</v>
      </c>
      <c r="B74" s="7">
        <v>43337</v>
      </c>
      <c r="D74" s="21">
        <v>46874</v>
      </c>
      <c r="E74" s="7">
        <v>7200</v>
      </c>
      <c r="F74" s="7">
        <v>0</v>
      </c>
      <c r="G74" s="7">
        <v>3000</v>
      </c>
      <c r="H74" s="7"/>
      <c r="I74" s="7">
        <v>-67</v>
      </c>
      <c r="J74" s="7">
        <v>-100</v>
      </c>
      <c r="K74" s="7"/>
      <c r="L74" s="7"/>
      <c r="M74" s="7">
        <v>-200</v>
      </c>
      <c r="N74" s="7"/>
      <c r="O74" s="7">
        <v>-204</v>
      </c>
      <c r="P74" s="7">
        <v>-320</v>
      </c>
      <c r="Q74" s="7">
        <v>-800</v>
      </c>
      <c r="R74" s="7">
        <v>0</v>
      </c>
      <c r="S74" s="7">
        <v>-4425</v>
      </c>
      <c r="T74" s="7">
        <v>4084</v>
      </c>
    </row>
    <row r="75" spans="1:20" x14ac:dyDescent="0.25">
      <c r="A75" s="21">
        <v>46905</v>
      </c>
      <c r="B75" s="7">
        <v>47421</v>
      </c>
      <c r="D75" s="21">
        <v>46905</v>
      </c>
      <c r="E75" s="7">
        <v>7200</v>
      </c>
      <c r="F75" s="7">
        <v>0</v>
      </c>
      <c r="G75" s="7">
        <v>3000</v>
      </c>
      <c r="H75" s="7"/>
      <c r="I75" s="7">
        <v>-67</v>
      </c>
      <c r="J75" s="7">
        <v>-100</v>
      </c>
      <c r="K75" s="7"/>
      <c r="L75" s="7"/>
      <c r="M75" s="7">
        <v>-200</v>
      </c>
      <c r="N75" s="7"/>
      <c r="O75" s="7">
        <v>-204</v>
      </c>
      <c r="P75" s="7">
        <v>-320</v>
      </c>
      <c r="Q75" s="7">
        <v>-800</v>
      </c>
      <c r="R75" s="7">
        <v>0</v>
      </c>
      <c r="S75" s="7">
        <v>-4425</v>
      </c>
      <c r="T75" s="7">
        <v>4084</v>
      </c>
    </row>
    <row r="76" spans="1:20" x14ac:dyDescent="0.25">
      <c r="A76" s="21">
        <v>46935</v>
      </c>
      <c r="B76" s="7">
        <v>54683</v>
      </c>
      <c r="D76" s="21">
        <v>46935</v>
      </c>
      <c r="E76" s="7">
        <v>7200</v>
      </c>
      <c r="F76" s="7">
        <v>18750</v>
      </c>
      <c r="G76" s="7">
        <v>3000</v>
      </c>
      <c r="H76" s="7">
        <v>1500</v>
      </c>
      <c r="I76" s="7">
        <v>-67</v>
      </c>
      <c r="J76" s="7">
        <v>-100</v>
      </c>
      <c r="K76" s="7"/>
      <c r="L76" s="7"/>
      <c r="M76" s="7">
        <v>-200</v>
      </c>
      <c r="N76" s="7"/>
      <c r="O76" s="7">
        <v>-609</v>
      </c>
      <c r="P76" s="7">
        <v>-320</v>
      </c>
      <c r="Q76" s="7">
        <v>-800</v>
      </c>
      <c r="R76" s="7">
        <v>-16667</v>
      </c>
      <c r="S76" s="7">
        <v>-4425</v>
      </c>
      <c r="T76" s="7">
        <v>7262</v>
      </c>
    </row>
    <row r="77" spans="1:20" x14ac:dyDescent="0.25">
      <c r="A77" s="21">
        <v>46966</v>
      </c>
      <c r="B77" s="7">
        <v>51711</v>
      </c>
      <c r="D77" s="21">
        <v>46966</v>
      </c>
      <c r="E77" s="7">
        <v>0</v>
      </c>
      <c r="F77" s="7">
        <v>0</v>
      </c>
      <c r="G77" s="7">
        <v>3000</v>
      </c>
      <c r="H77" s="7"/>
      <c r="I77" s="7">
        <v>-67</v>
      </c>
      <c r="J77" s="7">
        <v>-100</v>
      </c>
      <c r="K77" s="7"/>
      <c r="L77" s="7"/>
      <c r="M77" s="7">
        <v>-200</v>
      </c>
      <c r="N77" s="7"/>
      <c r="O77" s="7">
        <v>-60</v>
      </c>
      <c r="P77" s="7">
        <v>-320</v>
      </c>
      <c r="Q77" s="7">
        <v>-800</v>
      </c>
      <c r="R77" s="7">
        <v>0</v>
      </c>
      <c r="S77" s="7">
        <v>-4425</v>
      </c>
      <c r="T77" s="7">
        <v>-2972</v>
      </c>
    </row>
    <row r="78" spans="1:20" x14ac:dyDescent="0.25">
      <c r="A78" s="21">
        <v>46997</v>
      </c>
      <c r="B78" s="7">
        <v>55795</v>
      </c>
      <c r="D78" s="21">
        <v>46997</v>
      </c>
      <c r="E78" s="7">
        <v>7200</v>
      </c>
      <c r="F78" s="7">
        <v>0</v>
      </c>
      <c r="G78" s="7">
        <v>3000</v>
      </c>
      <c r="H78" s="7"/>
      <c r="I78" s="7">
        <v>-67</v>
      </c>
      <c r="J78" s="7">
        <v>-100</v>
      </c>
      <c r="K78" s="7"/>
      <c r="L78" s="7"/>
      <c r="M78" s="7">
        <v>-200</v>
      </c>
      <c r="N78" s="7"/>
      <c r="O78" s="7">
        <v>-204</v>
      </c>
      <c r="P78" s="7">
        <v>-320</v>
      </c>
      <c r="Q78" s="7">
        <v>-800</v>
      </c>
      <c r="R78" s="7">
        <v>0</v>
      </c>
      <c r="S78" s="7">
        <v>-4425</v>
      </c>
      <c r="T78" s="7">
        <v>4084</v>
      </c>
    </row>
    <row r="79" spans="1:20" x14ac:dyDescent="0.25">
      <c r="A79" s="21">
        <v>47027</v>
      </c>
      <c r="B79" s="7">
        <v>63057</v>
      </c>
      <c r="D79" s="21">
        <v>47027</v>
      </c>
      <c r="E79" s="7">
        <v>7200</v>
      </c>
      <c r="F79" s="7">
        <v>18750</v>
      </c>
      <c r="G79" s="7">
        <v>3000</v>
      </c>
      <c r="H79" s="7">
        <v>1500</v>
      </c>
      <c r="I79" s="7">
        <v>-67</v>
      </c>
      <c r="J79" s="7">
        <v>-100</v>
      </c>
      <c r="K79" s="7"/>
      <c r="L79" s="7"/>
      <c r="M79" s="7">
        <v>-200</v>
      </c>
      <c r="N79" s="7"/>
      <c r="O79" s="7">
        <v>-609</v>
      </c>
      <c r="P79" s="7">
        <v>-320</v>
      </c>
      <c r="Q79" s="7">
        <v>-800</v>
      </c>
      <c r="R79" s="7">
        <v>-16667</v>
      </c>
      <c r="S79" s="7">
        <v>-4425</v>
      </c>
      <c r="T79" s="7">
        <v>7262</v>
      </c>
    </row>
    <row r="80" spans="1:20" x14ac:dyDescent="0.25">
      <c r="A80" s="21">
        <v>47058</v>
      </c>
      <c r="B80" s="7">
        <v>67141</v>
      </c>
      <c r="D80" s="21">
        <v>47058</v>
      </c>
      <c r="E80" s="7">
        <v>7200</v>
      </c>
      <c r="F80" s="7">
        <v>0</v>
      </c>
      <c r="G80" s="7">
        <v>3000</v>
      </c>
      <c r="H80" s="7"/>
      <c r="I80" s="7">
        <v>-67</v>
      </c>
      <c r="J80" s="7">
        <v>-100</v>
      </c>
      <c r="K80" s="7"/>
      <c r="L80" s="7"/>
      <c r="M80" s="7">
        <v>-200</v>
      </c>
      <c r="N80" s="7"/>
      <c r="O80" s="7">
        <v>-204</v>
      </c>
      <c r="P80" s="7">
        <v>-320</v>
      </c>
      <c r="Q80" s="7">
        <v>-800</v>
      </c>
      <c r="R80" s="7"/>
      <c r="S80" s="7">
        <v>-4425</v>
      </c>
      <c r="T80" s="7">
        <v>4084</v>
      </c>
    </row>
    <row r="81" spans="1:20" x14ac:dyDescent="0.25">
      <c r="A81" s="21">
        <v>47088</v>
      </c>
      <c r="B81" s="7">
        <v>64169</v>
      </c>
      <c r="D81" s="21">
        <v>47088</v>
      </c>
      <c r="E81" s="7">
        <v>0</v>
      </c>
      <c r="F81" s="7">
        <v>0</v>
      </c>
      <c r="G81" s="7">
        <v>3000</v>
      </c>
      <c r="H81" s="7"/>
      <c r="I81" s="7">
        <v>-67</v>
      </c>
      <c r="J81" s="7">
        <v>-100</v>
      </c>
      <c r="K81" s="7"/>
      <c r="L81" s="7"/>
      <c r="M81" s="7">
        <v>-200</v>
      </c>
      <c r="N81" s="7"/>
      <c r="O81" s="7">
        <v>-60</v>
      </c>
      <c r="P81" s="7">
        <v>-320</v>
      </c>
      <c r="Q81" s="7">
        <v>-800</v>
      </c>
      <c r="R81" s="7"/>
      <c r="S81" s="7">
        <v>-4425</v>
      </c>
      <c r="T81" s="7">
        <v>-2972</v>
      </c>
    </row>
    <row r="82" spans="1:20" x14ac:dyDescent="0.25">
      <c r="A82" s="21" t="s">
        <v>29</v>
      </c>
      <c r="B82" s="7"/>
      <c r="D82" s="21" t="s">
        <v>29</v>
      </c>
      <c r="E82" s="7">
        <v>170400</v>
      </c>
      <c r="F82" s="7">
        <v>118500</v>
      </c>
      <c r="G82" s="7">
        <v>36000</v>
      </c>
      <c r="H82" s="7">
        <v>11500</v>
      </c>
      <c r="I82" s="7">
        <v>-2412</v>
      </c>
      <c r="J82" s="7">
        <v>-2700</v>
      </c>
      <c r="K82" s="7">
        <v>-3000</v>
      </c>
      <c r="L82" s="7">
        <v>-4000</v>
      </c>
      <c r="M82" s="7">
        <v>-4200</v>
      </c>
      <c r="N82" s="7">
        <v>-6000</v>
      </c>
      <c r="O82" s="7">
        <v>-7237</v>
      </c>
      <c r="P82" s="7">
        <v>-8880</v>
      </c>
      <c r="Q82" s="7">
        <v>-9600</v>
      </c>
      <c r="R82" s="7">
        <v>-100002</v>
      </c>
      <c r="S82" s="7">
        <v>-124200</v>
      </c>
      <c r="T82" s="7">
        <v>64169</v>
      </c>
    </row>
  </sheetData>
  <pageMargins left="0.7" right="0.7" top="0.75" bottom="0.75" header="0.3" footer="0.3"/>
  <pageSetup paperSize="9" orientation="portrait" horizontalDpi="4294967293" verticalDpi="0" r:id="rId8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3CB9-17EB-4252-A924-75CCFE006E84}">
  <dimension ref="B6:N25"/>
  <sheetViews>
    <sheetView topLeftCell="B1" workbookViewId="0">
      <selection activeCell="F29" sqref="F29"/>
    </sheetView>
  </sheetViews>
  <sheetFormatPr baseColWidth="10" defaultRowHeight="15" x14ac:dyDescent="0.25"/>
  <sheetData>
    <row r="6" spans="2:14" x14ac:dyDescent="0.25">
      <c r="B6" s="5" t="s">
        <v>33</v>
      </c>
      <c r="C6" t="s">
        <v>44</v>
      </c>
      <c r="I6" s="5" t="s">
        <v>3</v>
      </c>
      <c r="J6" s="11" t="s">
        <v>63</v>
      </c>
    </row>
    <row r="7" spans="2:14" x14ac:dyDescent="0.25">
      <c r="B7" t="s">
        <v>60</v>
      </c>
      <c r="I7" t="s">
        <v>60</v>
      </c>
    </row>
    <row r="8" spans="2:14" x14ac:dyDescent="0.25">
      <c r="C8" s="5" t="s">
        <v>32</v>
      </c>
      <c r="I8" s="5" t="s">
        <v>30</v>
      </c>
      <c r="J8" s="5" t="s">
        <v>32</v>
      </c>
    </row>
    <row r="9" spans="2:14" x14ac:dyDescent="0.25">
      <c r="C9" t="s">
        <v>30</v>
      </c>
      <c r="D9" t="s">
        <v>66</v>
      </c>
      <c r="E9" t="s">
        <v>64</v>
      </c>
      <c r="F9" t="s">
        <v>65</v>
      </c>
      <c r="I9" s="5" t="s">
        <v>28</v>
      </c>
      <c r="J9" t="s">
        <v>34</v>
      </c>
      <c r="K9" t="s">
        <v>35</v>
      </c>
      <c r="L9" t="s">
        <v>44</v>
      </c>
      <c r="M9" t="s">
        <v>58</v>
      </c>
      <c r="N9" t="s">
        <v>29</v>
      </c>
    </row>
    <row r="10" spans="2:14" x14ac:dyDescent="0.25">
      <c r="B10" s="5" t="s">
        <v>28</v>
      </c>
      <c r="C10" s="30" t="s">
        <v>53</v>
      </c>
      <c r="D10" s="11" t="s">
        <v>53</v>
      </c>
      <c r="I10" s="6">
        <v>2026</v>
      </c>
      <c r="J10">
        <v>35400</v>
      </c>
      <c r="K10">
        <v>-10000</v>
      </c>
      <c r="L10">
        <v>-21017</v>
      </c>
      <c r="M10">
        <v>-1104</v>
      </c>
      <c r="N10">
        <v>3279</v>
      </c>
    </row>
    <row r="11" spans="2:14" x14ac:dyDescent="0.25">
      <c r="B11" s="6">
        <v>2026</v>
      </c>
      <c r="C11" s="31">
        <v>-18000</v>
      </c>
      <c r="D11" s="9">
        <v>1</v>
      </c>
      <c r="E11">
        <v>-18000</v>
      </c>
      <c r="F11" s="9">
        <v>1</v>
      </c>
      <c r="I11" s="6">
        <v>2027</v>
      </c>
      <c r="J11">
        <v>112000</v>
      </c>
      <c r="K11">
        <v>-36334</v>
      </c>
      <c r="L11">
        <v>-60380</v>
      </c>
      <c r="M11">
        <v>-2004</v>
      </c>
      <c r="N11">
        <v>13282</v>
      </c>
    </row>
    <row r="12" spans="2:14" x14ac:dyDescent="0.25">
      <c r="B12" s="6">
        <v>2027</v>
      </c>
      <c r="C12" s="31">
        <v>-53100</v>
      </c>
      <c r="D12" s="9">
        <v>1</v>
      </c>
      <c r="E12">
        <v>-53100</v>
      </c>
      <c r="F12" s="9">
        <v>1</v>
      </c>
      <c r="I12" s="6">
        <v>2028</v>
      </c>
      <c r="J12">
        <v>189000</v>
      </c>
      <c r="K12">
        <v>-66668</v>
      </c>
      <c r="L12">
        <v>-72720</v>
      </c>
      <c r="M12">
        <v>-2004</v>
      </c>
      <c r="N12">
        <v>47608</v>
      </c>
    </row>
    <row r="13" spans="2:14" x14ac:dyDescent="0.25">
      <c r="B13" s="6">
        <v>2028</v>
      </c>
      <c r="C13" s="31">
        <v>-53100</v>
      </c>
      <c r="D13" s="9">
        <v>1</v>
      </c>
      <c r="E13">
        <v>-53100</v>
      </c>
      <c r="F13" s="9">
        <v>1</v>
      </c>
      <c r="I13" s="6" t="s">
        <v>29</v>
      </c>
      <c r="J13">
        <v>336400</v>
      </c>
      <c r="K13">
        <v>-113002</v>
      </c>
      <c r="L13">
        <v>-154117</v>
      </c>
      <c r="M13">
        <v>-5112</v>
      </c>
      <c r="N13">
        <v>64169</v>
      </c>
    </row>
    <row r="14" spans="2:14" x14ac:dyDescent="0.25">
      <c r="B14" s="6" t="s">
        <v>29</v>
      </c>
      <c r="C14" s="31">
        <v>-124200</v>
      </c>
      <c r="D14" s="9">
        <v>1</v>
      </c>
      <c r="E14">
        <v>-124200</v>
      </c>
      <c r="F14" s="9">
        <v>1</v>
      </c>
    </row>
    <row r="19" spans="2:5" x14ac:dyDescent="0.25">
      <c r="B19" t="s">
        <v>60</v>
      </c>
    </row>
    <row r="20" spans="2:5" x14ac:dyDescent="0.25">
      <c r="B20" s="5" t="s">
        <v>30</v>
      </c>
      <c r="C20" s="5" t="s">
        <v>32</v>
      </c>
    </row>
    <row r="21" spans="2:5" ht="30" x14ac:dyDescent="0.25">
      <c r="B21" s="5" t="s">
        <v>28</v>
      </c>
      <c r="C21" s="11" t="s">
        <v>53</v>
      </c>
      <c r="D21" s="11" t="s">
        <v>0</v>
      </c>
      <c r="E21" t="s">
        <v>29</v>
      </c>
    </row>
    <row r="22" spans="2:5" x14ac:dyDescent="0.25">
      <c r="B22" s="6">
        <v>2026</v>
      </c>
      <c r="C22">
        <v>-18000</v>
      </c>
      <c r="D22">
        <v>26400</v>
      </c>
      <c r="E22">
        <v>8400</v>
      </c>
    </row>
    <row r="23" spans="2:5" x14ac:dyDescent="0.25">
      <c r="B23" s="6">
        <v>2027</v>
      </c>
      <c r="C23">
        <v>-53100</v>
      </c>
      <c r="D23">
        <v>72000</v>
      </c>
      <c r="E23">
        <v>18900</v>
      </c>
    </row>
    <row r="24" spans="2:5" x14ac:dyDescent="0.25">
      <c r="B24" s="6">
        <v>2028</v>
      </c>
      <c r="C24">
        <v>-53100</v>
      </c>
      <c r="D24">
        <v>72000</v>
      </c>
      <c r="E24">
        <v>18900</v>
      </c>
    </row>
    <row r="25" spans="2:5" x14ac:dyDescent="0.25">
      <c r="B25" s="6" t="s">
        <v>29</v>
      </c>
      <c r="C25">
        <v>-124200</v>
      </c>
      <c r="D25">
        <v>170400</v>
      </c>
      <c r="E25">
        <v>46200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015B7-32C3-4295-B509-C6C77FB9557E}">
  <dimension ref="A1:AX78"/>
  <sheetViews>
    <sheetView showGridLines="0" zoomScale="85" zoomScaleNormal="85" workbookViewId="0">
      <selection activeCell="I43" sqref="I43"/>
    </sheetView>
  </sheetViews>
  <sheetFormatPr baseColWidth="10" defaultRowHeight="15" x14ac:dyDescent="0.25"/>
  <cols>
    <col min="1" max="1" width="18.5703125" bestFit="1" customWidth="1"/>
    <col min="2" max="2" width="16.85546875" bestFit="1" customWidth="1"/>
    <col min="3" max="11" width="11.7109375" customWidth="1"/>
    <col min="12" max="12" width="13.5703125" bestFit="1" customWidth="1"/>
    <col min="14" max="14" width="12" bestFit="1" customWidth="1"/>
  </cols>
  <sheetData>
    <row r="1" spans="1:4" x14ac:dyDescent="0.25">
      <c r="A1" s="12" t="s">
        <v>73</v>
      </c>
    </row>
    <row r="3" spans="1:4" x14ac:dyDescent="0.25">
      <c r="B3" t="s">
        <v>67</v>
      </c>
    </row>
    <row r="4" spans="1:4" x14ac:dyDescent="0.25">
      <c r="B4" s="37">
        <v>-7823</v>
      </c>
    </row>
    <row r="6" spans="1:4" ht="30" x14ac:dyDescent="0.25">
      <c r="C6" s="33" t="s">
        <v>69</v>
      </c>
      <c r="D6" s="33" t="s">
        <v>72</v>
      </c>
    </row>
    <row r="7" spans="1:4" x14ac:dyDescent="0.25">
      <c r="B7" s="6">
        <v>2026</v>
      </c>
      <c r="C7" s="37">
        <v>26300</v>
      </c>
      <c r="D7" s="32">
        <v>0.11026615969581749</v>
      </c>
    </row>
    <row r="8" spans="1:4" x14ac:dyDescent="0.25">
      <c r="B8" s="6">
        <v>2027</v>
      </c>
      <c r="C8" s="37">
        <v>43400</v>
      </c>
      <c r="D8" s="32">
        <v>0.21</v>
      </c>
    </row>
    <row r="9" spans="1:4" x14ac:dyDescent="0.25">
      <c r="B9" s="6">
        <v>2028</v>
      </c>
      <c r="C9" s="37">
        <v>56700</v>
      </c>
      <c r="D9" s="32">
        <v>0.270652557319224</v>
      </c>
    </row>
    <row r="10" spans="1:4" x14ac:dyDescent="0.25">
      <c r="B10" s="6">
        <v>2029</v>
      </c>
      <c r="C10" s="37">
        <v>65205</v>
      </c>
      <c r="D10" s="32">
        <v>0.30795184418372823</v>
      </c>
    </row>
    <row r="11" spans="1:4" x14ac:dyDescent="0.25">
      <c r="B11" s="6" t="s">
        <v>29</v>
      </c>
      <c r="C11" s="37">
        <v>191605</v>
      </c>
      <c r="D11" s="32">
        <v>0.24759270373946402</v>
      </c>
    </row>
    <row r="16" spans="1:4" x14ac:dyDescent="0.25">
      <c r="A16" s="12" t="s">
        <v>61</v>
      </c>
    </row>
    <row r="17" spans="1:14" x14ac:dyDescent="0.25">
      <c r="B17" s="5" t="s">
        <v>69</v>
      </c>
    </row>
    <row r="18" spans="1:14" s="11" customFormat="1" ht="30" x14ac:dyDescent="0.25">
      <c r="B18"/>
      <c r="C18" s="33" t="s">
        <v>116</v>
      </c>
      <c r="D18" s="33" t="s">
        <v>118</v>
      </c>
      <c r="E18" s="33" t="s">
        <v>31</v>
      </c>
      <c r="F18" s="33" t="s">
        <v>29</v>
      </c>
      <c r="G18"/>
      <c r="H18"/>
      <c r="I18"/>
      <c r="J18"/>
      <c r="K18"/>
      <c r="L18"/>
      <c r="M18"/>
      <c r="N18"/>
    </row>
    <row r="19" spans="1:14" x14ac:dyDescent="0.25">
      <c r="B19" s="6">
        <v>2026</v>
      </c>
      <c r="C19" s="37">
        <v>22800</v>
      </c>
      <c r="D19" s="37">
        <v>3500</v>
      </c>
      <c r="E19" s="37">
        <v>0</v>
      </c>
      <c r="F19" s="37">
        <v>26300</v>
      </c>
    </row>
    <row r="20" spans="1:14" x14ac:dyDescent="0.25">
      <c r="B20" s="6">
        <v>2027</v>
      </c>
      <c r="C20" s="37">
        <v>40200</v>
      </c>
      <c r="D20" s="37">
        <v>2000</v>
      </c>
      <c r="E20" s="37">
        <v>1200</v>
      </c>
      <c r="F20" s="37">
        <v>43400</v>
      </c>
    </row>
    <row r="21" spans="1:14" x14ac:dyDescent="0.25">
      <c r="B21" s="6">
        <v>2028</v>
      </c>
      <c r="C21" s="37">
        <v>49500</v>
      </c>
      <c r="D21" s="37">
        <v>6000</v>
      </c>
      <c r="E21" s="37">
        <v>1200</v>
      </c>
      <c r="F21" s="37">
        <v>56700</v>
      </c>
    </row>
    <row r="22" spans="1:14" x14ac:dyDescent="0.25">
      <c r="B22" s="6">
        <v>2029</v>
      </c>
      <c r="C22" s="37">
        <v>58005</v>
      </c>
      <c r="D22" s="37">
        <v>6000</v>
      </c>
      <c r="E22" s="37">
        <v>1200</v>
      </c>
      <c r="F22" s="37">
        <v>65205</v>
      </c>
    </row>
    <row r="23" spans="1:14" x14ac:dyDescent="0.25">
      <c r="B23" s="6" t="s">
        <v>29</v>
      </c>
      <c r="C23" s="37">
        <v>170505</v>
      </c>
      <c r="D23" s="37">
        <v>17500</v>
      </c>
      <c r="E23" s="37">
        <v>3600</v>
      </c>
      <c r="F23" s="37">
        <v>191605</v>
      </c>
    </row>
    <row r="25" spans="1:14" x14ac:dyDescent="0.25">
      <c r="A25" s="12" t="s">
        <v>74</v>
      </c>
    </row>
    <row r="26" spans="1:14" x14ac:dyDescent="0.25">
      <c r="B26" s="5" t="s">
        <v>70</v>
      </c>
    </row>
    <row r="27" spans="1:14" ht="45" x14ac:dyDescent="0.25">
      <c r="C27" s="33" t="s">
        <v>53</v>
      </c>
      <c r="D27" s="33" t="s">
        <v>62</v>
      </c>
      <c r="E27" s="33" t="s">
        <v>47</v>
      </c>
      <c r="F27" s="33" t="s">
        <v>45</v>
      </c>
      <c r="G27" s="33" t="s">
        <v>52</v>
      </c>
      <c r="H27" s="33" t="s">
        <v>36</v>
      </c>
      <c r="I27" s="33" t="s">
        <v>42</v>
      </c>
      <c r="J27" s="33" t="s">
        <v>29</v>
      </c>
    </row>
    <row r="28" spans="1:14" x14ac:dyDescent="0.25">
      <c r="B28" s="6">
        <v>2026</v>
      </c>
      <c r="C28" s="37">
        <v>16400</v>
      </c>
      <c r="D28" s="37">
        <v>2700</v>
      </c>
      <c r="E28" s="37">
        <v>1350</v>
      </c>
      <c r="F28" s="37">
        <v>1500</v>
      </c>
      <c r="G28" s="37">
        <v>550</v>
      </c>
      <c r="H28" s="37">
        <v>900</v>
      </c>
      <c r="I28" s="37">
        <v>0</v>
      </c>
      <c r="J28" s="37">
        <v>23400</v>
      </c>
    </row>
    <row r="29" spans="1:14" x14ac:dyDescent="0.25">
      <c r="B29" s="6">
        <v>2027</v>
      </c>
      <c r="C29" s="37">
        <v>25500</v>
      </c>
      <c r="D29" s="37">
        <v>3600</v>
      </c>
      <c r="E29" s="37">
        <v>1800</v>
      </c>
      <c r="F29" s="37">
        <v>966</v>
      </c>
      <c r="G29" s="37">
        <v>1320</v>
      </c>
      <c r="H29" s="37">
        <v>600</v>
      </c>
      <c r="I29" s="37">
        <v>500</v>
      </c>
      <c r="J29" s="37">
        <v>34286</v>
      </c>
    </row>
    <row r="30" spans="1:14" x14ac:dyDescent="0.25">
      <c r="B30" s="6">
        <v>2028</v>
      </c>
      <c r="C30" s="37">
        <v>32400</v>
      </c>
      <c r="D30" s="37">
        <v>3600</v>
      </c>
      <c r="E30" s="37">
        <v>1800</v>
      </c>
      <c r="F30" s="37">
        <v>1134</v>
      </c>
      <c r="G30" s="37">
        <v>1320</v>
      </c>
      <c r="H30" s="37">
        <v>600</v>
      </c>
      <c r="I30" s="37">
        <v>500</v>
      </c>
      <c r="J30" s="37">
        <v>41354</v>
      </c>
    </row>
    <row r="31" spans="1:14" x14ac:dyDescent="0.25">
      <c r="B31" s="6">
        <v>2029</v>
      </c>
      <c r="C31" s="37">
        <v>36000</v>
      </c>
      <c r="D31" s="37">
        <v>3600</v>
      </c>
      <c r="E31" s="37">
        <v>1800</v>
      </c>
      <c r="F31" s="37">
        <v>1305</v>
      </c>
      <c r="G31" s="37">
        <v>1320</v>
      </c>
      <c r="H31" s="37">
        <v>600</v>
      </c>
      <c r="I31" s="37">
        <v>500</v>
      </c>
      <c r="J31" s="37">
        <v>45125</v>
      </c>
    </row>
    <row r="32" spans="1:14" x14ac:dyDescent="0.25">
      <c r="B32" s="6" t="s">
        <v>29</v>
      </c>
      <c r="C32" s="37">
        <v>110300</v>
      </c>
      <c r="D32" s="37">
        <v>13500</v>
      </c>
      <c r="E32" s="37">
        <v>6750</v>
      </c>
      <c r="F32" s="37">
        <v>4905</v>
      </c>
      <c r="G32" s="37">
        <v>4510</v>
      </c>
      <c r="H32" s="37">
        <v>2700</v>
      </c>
      <c r="I32" s="37">
        <v>1500</v>
      </c>
      <c r="J32" s="37">
        <v>144165</v>
      </c>
    </row>
    <row r="34" spans="1:9" x14ac:dyDescent="0.25">
      <c r="A34" s="12" t="s">
        <v>67</v>
      </c>
    </row>
    <row r="35" spans="1:9" x14ac:dyDescent="0.25">
      <c r="B35" s="5" t="s">
        <v>75</v>
      </c>
    </row>
    <row r="36" spans="1:9" ht="60" x14ac:dyDescent="0.25">
      <c r="C36" s="33" t="s">
        <v>41</v>
      </c>
      <c r="D36" s="33" t="s">
        <v>76</v>
      </c>
      <c r="E36" s="33" t="s">
        <v>82</v>
      </c>
      <c r="F36" s="33" t="s">
        <v>29</v>
      </c>
    </row>
    <row r="37" spans="1:9" x14ac:dyDescent="0.25">
      <c r="B37" s="6">
        <v>2026</v>
      </c>
      <c r="C37" s="37"/>
      <c r="D37" s="37"/>
      <c r="E37" s="37">
        <v>473</v>
      </c>
      <c r="F37" s="37">
        <v>473</v>
      </c>
    </row>
    <row r="38" spans="1:9" x14ac:dyDescent="0.25">
      <c r="B38" s="6">
        <v>2027</v>
      </c>
      <c r="C38" s="37">
        <v>1000</v>
      </c>
      <c r="D38" s="37">
        <v>0</v>
      </c>
      <c r="E38" s="37"/>
      <c r="F38" s="37">
        <v>1000</v>
      </c>
    </row>
    <row r="39" spans="1:9" x14ac:dyDescent="0.25">
      <c r="B39" s="6">
        <v>2028</v>
      </c>
      <c r="C39" s="37">
        <v>4000</v>
      </c>
      <c r="D39" s="37">
        <v>2000</v>
      </c>
      <c r="E39" s="37"/>
      <c r="F39" s="37">
        <v>6000</v>
      </c>
    </row>
    <row r="40" spans="1:9" x14ac:dyDescent="0.25">
      <c r="B40" s="6">
        <v>2029</v>
      </c>
      <c r="C40" s="37">
        <v>4000</v>
      </c>
      <c r="D40" s="37">
        <v>2000</v>
      </c>
      <c r="E40" s="37"/>
      <c r="F40" s="37">
        <v>6000</v>
      </c>
    </row>
    <row r="41" spans="1:9" x14ac:dyDescent="0.25">
      <c r="B41" s="6" t="s">
        <v>29</v>
      </c>
      <c r="C41" s="37">
        <v>9000</v>
      </c>
      <c r="D41" s="37">
        <v>4000</v>
      </c>
      <c r="E41" s="37">
        <v>473</v>
      </c>
      <c r="F41" s="37">
        <v>13473</v>
      </c>
    </row>
    <row r="43" spans="1:9" x14ac:dyDescent="0.25">
      <c r="A43" s="12" t="s">
        <v>81</v>
      </c>
      <c r="C43" s="33"/>
    </row>
    <row r="44" spans="1:9" x14ac:dyDescent="0.25">
      <c r="C44">
        <v>2026</v>
      </c>
      <c r="D44">
        <v>2027</v>
      </c>
      <c r="E44">
        <v>2028</v>
      </c>
      <c r="F44">
        <v>2029</v>
      </c>
    </row>
    <row r="45" spans="1:9" x14ac:dyDescent="0.25">
      <c r="B45" s="6" t="s">
        <v>69</v>
      </c>
      <c r="C45" s="37">
        <v>26300</v>
      </c>
      <c r="D45" s="37">
        <v>43400</v>
      </c>
      <c r="E45" s="37">
        <v>56700</v>
      </c>
      <c r="F45" s="37">
        <v>65205</v>
      </c>
    </row>
    <row r="46" spans="1:9" x14ac:dyDescent="0.25">
      <c r="B46" s="6" t="s">
        <v>70</v>
      </c>
      <c r="C46" s="37">
        <v>23400</v>
      </c>
      <c r="D46" s="37">
        <v>34286</v>
      </c>
      <c r="E46" s="37">
        <v>41354</v>
      </c>
      <c r="F46" s="37">
        <v>45125</v>
      </c>
    </row>
    <row r="47" spans="1:9" x14ac:dyDescent="0.25">
      <c r="B47" s="34" t="s">
        <v>71</v>
      </c>
      <c r="C47" s="38">
        <v>2900</v>
      </c>
      <c r="D47" s="38">
        <v>9114</v>
      </c>
      <c r="E47" s="38">
        <v>15346</v>
      </c>
      <c r="F47" s="38">
        <v>20080</v>
      </c>
      <c r="H47" s="37"/>
      <c r="I47" s="37"/>
    </row>
    <row r="48" spans="1:9" x14ac:dyDescent="0.25">
      <c r="B48" s="6" t="s">
        <v>79</v>
      </c>
      <c r="C48" s="37">
        <v>1872</v>
      </c>
      <c r="D48" s="37">
        <v>4468</v>
      </c>
      <c r="E48" s="37">
        <v>5565</v>
      </c>
      <c r="F48" s="37">
        <v>6378</v>
      </c>
    </row>
    <row r="49" spans="2:50" x14ac:dyDescent="0.25">
      <c r="B49" s="34" t="s">
        <v>80</v>
      </c>
      <c r="C49" s="38">
        <v>1028</v>
      </c>
      <c r="D49" s="38">
        <v>4646</v>
      </c>
      <c r="E49" s="38">
        <v>9781</v>
      </c>
      <c r="F49" s="38">
        <v>13702</v>
      </c>
    </row>
    <row r="56" spans="2:50" x14ac:dyDescent="0.25">
      <c r="B56" s="15" t="s">
        <v>87</v>
      </c>
      <c r="C56" t="s" vm="1">
        <v>88</v>
      </c>
    </row>
    <row r="58" spans="2:50" x14ac:dyDescent="0.25">
      <c r="C58" s="5" t="s">
        <v>32</v>
      </c>
    </row>
    <row r="59" spans="2:50" x14ac:dyDescent="0.25">
      <c r="B59" s="5" t="s">
        <v>89</v>
      </c>
      <c r="C59" s="1">
        <v>46023</v>
      </c>
      <c r="D59" s="1">
        <v>46054</v>
      </c>
      <c r="E59" s="1">
        <v>46082</v>
      </c>
      <c r="F59" s="1">
        <v>46113</v>
      </c>
      <c r="G59" s="1">
        <v>46143</v>
      </c>
      <c r="H59" s="1">
        <v>46174</v>
      </c>
      <c r="I59" s="1">
        <v>46204</v>
      </c>
      <c r="J59" s="1">
        <v>46235</v>
      </c>
      <c r="K59" s="1">
        <v>46266</v>
      </c>
      <c r="L59" s="1">
        <v>46296</v>
      </c>
      <c r="M59" s="1">
        <v>46327</v>
      </c>
      <c r="N59" s="1">
        <v>46357</v>
      </c>
      <c r="O59" s="35">
        <v>46388</v>
      </c>
      <c r="P59" s="1">
        <v>46419</v>
      </c>
      <c r="Q59" s="1">
        <v>46447</v>
      </c>
      <c r="R59" s="1">
        <v>46478</v>
      </c>
      <c r="S59" s="1">
        <v>46508</v>
      </c>
      <c r="T59" s="1">
        <v>46539</v>
      </c>
      <c r="U59" s="1">
        <v>46569</v>
      </c>
      <c r="V59" s="1">
        <v>46600</v>
      </c>
      <c r="W59" s="1">
        <v>46631</v>
      </c>
      <c r="X59" s="1">
        <v>46661</v>
      </c>
      <c r="Y59" s="1">
        <v>46692</v>
      </c>
      <c r="Z59" s="1">
        <v>46722</v>
      </c>
      <c r="AA59" s="35">
        <v>46753</v>
      </c>
      <c r="AB59" s="1">
        <v>46784</v>
      </c>
      <c r="AC59" s="1">
        <v>46813</v>
      </c>
      <c r="AD59" s="1">
        <v>46844</v>
      </c>
      <c r="AE59" s="1">
        <v>46874</v>
      </c>
      <c r="AF59" s="1">
        <v>46905</v>
      </c>
      <c r="AG59" s="1">
        <v>46935</v>
      </c>
      <c r="AH59" s="1">
        <v>46966</v>
      </c>
      <c r="AI59" s="1">
        <v>46997</v>
      </c>
      <c r="AJ59" s="1">
        <v>47027</v>
      </c>
      <c r="AK59" s="1">
        <v>47058</v>
      </c>
      <c r="AL59" s="1">
        <v>47088</v>
      </c>
      <c r="AM59" s="1">
        <v>47119</v>
      </c>
      <c r="AN59" s="1">
        <v>47150</v>
      </c>
      <c r="AO59" s="1">
        <v>47178</v>
      </c>
      <c r="AP59" s="1">
        <v>47209</v>
      </c>
      <c r="AQ59" s="1">
        <v>47239</v>
      </c>
      <c r="AR59" s="1">
        <v>47270</v>
      </c>
      <c r="AS59" s="1">
        <v>47300</v>
      </c>
      <c r="AT59" s="1">
        <v>47331</v>
      </c>
      <c r="AU59" s="1">
        <v>47362</v>
      </c>
      <c r="AV59" s="1">
        <v>47392</v>
      </c>
      <c r="AW59" s="1">
        <v>47423</v>
      </c>
      <c r="AX59" s="1">
        <v>47453</v>
      </c>
    </row>
    <row r="60" spans="2:50" x14ac:dyDescent="0.25">
      <c r="B60" s="6" t="s">
        <v>69</v>
      </c>
      <c r="C60" s="37"/>
      <c r="D60" s="37"/>
      <c r="E60" s="37"/>
      <c r="F60" s="37">
        <v>1750</v>
      </c>
      <c r="G60" s="37">
        <v>1750</v>
      </c>
      <c r="H60" s="37">
        <v>1125</v>
      </c>
      <c r="I60" s="37">
        <v>1875</v>
      </c>
      <c r="J60" s="37">
        <v>1875</v>
      </c>
      <c r="K60" s="37">
        <v>2775</v>
      </c>
      <c r="L60" s="37">
        <v>6525</v>
      </c>
      <c r="M60" s="37">
        <v>2525</v>
      </c>
      <c r="N60" s="37">
        <v>6100</v>
      </c>
      <c r="O60" s="39">
        <v>4400</v>
      </c>
      <c r="P60" s="37">
        <v>3600</v>
      </c>
      <c r="Q60" s="37">
        <v>2100</v>
      </c>
      <c r="R60" s="37">
        <v>5400</v>
      </c>
      <c r="S60" s="37">
        <v>2100</v>
      </c>
      <c r="T60" s="37">
        <v>5100</v>
      </c>
      <c r="U60" s="37">
        <v>2400</v>
      </c>
      <c r="V60" s="37">
        <v>3600</v>
      </c>
      <c r="W60" s="37">
        <v>2100</v>
      </c>
      <c r="X60" s="37">
        <v>5400</v>
      </c>
      <c r="Y60" s="37">
        <v>2100</v>
      </c>
      <c r="Z60" s="37">
        <v>5100</v>
      </c>
      <c r="AA60" s="39">
        <v>5400</v>
      </c>
      <c r="AB60" s="37">
        <v>4800</v>
      </c>
      <c r="AC60" s="37">
        <v>2100</v>
      </c>
      <c r="AD60" s="37">
        <v>7800</v>
      </c>
      <c r="AE60" s="37">
        <v>2100</v>
      </c>
      <c r="AF60" s="37">
        <v>7500</v>
      </c>
      <c r="AG60" s="37">
        <v>5400</v>
      </c>
      <c r="AH60" s="37">
        <v>4800</v>
      </c>
      <c r="AI60" s="37">
        <v>2100</v>
      </c>
      <c r="AJ60" s="37">
        <v>7800</v>
      </c>
      <c r="AK60" s="37">
        <v>2100</v>
      </c>
      <c r="AL60" s="37">
        <v>4800</v>
      </c>
      <c r="AM60" s="37">
        <v>5400</v>
      </c>
      <c r="AN60" s="37">
        <v>5745</v>
      </c>
      <c r="AO60" s="37">
        <v>2100</v>
      </c>
      <c r="AP60" s="37">
        <v>9690</v>
      </c>
      <c r="AQ60" s="37">
        <v>2100</v>
      </c>
      <c r="AR60" s="37">
        <v>9390</v>
      </c>
      <c r="AS60" s="37">
        <v>5400</v>
      </c>
      <c r="AT60" s="37">
        <v>5745</v>
      </c>
      <c r="AU60" s="37">
        <v>2100</v>
      </c>
      <c r="AV60" s="37">
        <v>9690</v>
      </c>
      <c r="AW60" s="37">
        <v>2100</v>
      </c>
      <c r="AX60" s="37">
        <v>5745</v>
      </c>
    </row>
    <row r="61" spans="2:50" x14ac:dyDescent="0.25">
      <c r="B61" s="6" t="s">
        <v>70</v>
      </c>
      <c r="C61" s="37">
        <v>0</v>
      </c>
      <c r="D61" s="37">
        <v>0</v>
      </c>
      <c r="E61" s="37">
        <v>0</v>
      </c>
      <c r="F61" s="37">
        <v>2150</v>
      </c>
      <c r="G61" s="37">
        <v>2150</v>
      </c>
      <c r="H61" s="37">
        <v>3050</v>
      </c>
      <c r="I61" s="37">
        <v>3250</v>
      </c>
      <c r="J61" s="37">
        <v>2660</v>
      </c>
      <c r="K61" s="37">
        <v>2460</v>
      </c>
      <c r="L61" s="37">
        <v>2560</v>
      </c>
      <c r="M61" s="37">
        <v>2560</v>
      </c>
      <c r="N61" s="37">
        <v>2560</v>
      </c>
      <c r="O61" s="39">
        <v>2310</v>
      </c>
      <c r="P61" s="37">
        <v>2310</v>
      </c>
      <c r="Q61" s="37">
        <v>2360</v>
      </c>
      <c r="R61" s="37">
        <v>3068</v>
      </c>
      <c r="S61" s="37">
        <v>3002</v>
      </c>
      <c r="T61" s="37">
        <v>3062</v>
      </c>
      <c r="U61" s="37">
        <v>3008</v>
      </c>
      <c r="V61" s="37">
        <v>3032</v>
      </c>
      <c r="W61" s="37">
        <v>3002</v>
      </c>
      <c r="X61" s="37">
        <v>3068</v>
      </c>
      <c r="Y61" s="37">
        <v>3002</v>
      </c>
      <c r="Z61" s="37">
        <v>3062</v>
      </c>
      <c r="AA61" s="39">
        <v>3418</v>
      </c>
      <c r="AB61" s="37">
        <v>3406</v>
      </c>
      <c r="AC61" s="37">
        <v>3402</v>
      </c>
      <c r="AD61" s="37">
        <v>3516</v>
      </c>
      <c r="AE61" s="37">
        <v>3402</v>
      </c>
      <c r="AF61" s="37">
        <v>3510</v>
      </c>
      <c r="AG61" s="37">
        <v>3468</v>
      </c>
      <c r="AH61" s="37">
        <v>3456</v>
      </c>
      <c r="AI61" s="37">
        <v>3402</v>
      </c>
      <c r="AJ61" s="37">
        <v>3516</v>
      </c>
      <c r="AK61" s="37">
        <v>3402</v>
      </c>
      <c r="AL61" s="37">
        <v>3456</v>
      </c>
      <c r="AM61" s="37">
        <v>3718</v>
      </c>
      <c r="AN61" s="37">
        <v>3725</v>
      </c>
      <c r="AO61" s="37">
        <v>3702</v>
      </c>
      <c r="AP61" s="37">
        <v>3854</v>
      </c>
      <c r="AQ61" s="37">
        <v>3702</v>
      </c>
      <c r="AR61" s="37">
        <v>3848</v>
      </c>
      <c r="AS61" s="37">
        <v>3768</v>
      </c>
      <c r="AT61" s="37">
        <v>3775</v>
      </c>
      <c r="AU61" s="37">
        <v>3702</v>
      </c>
      <c r="AV61" s="37">
        <v>3854</v>
      </c>
      <c r="AW61" s="37">
        <v>3702</v>
      </c>
      <c r="AX61" s="37">
        <v>3775</v>
      </c>
    </row>
    <row r="62" spans="2:50" x14ac:dyDescent="0.25">
      <c r="B62" s="34" t="s">
        <v>71</v>
      </c>
      <c r="C62" s="38">
        <v>0</v>
      </c>
      <c r="D62" s="38">
        <v>0</v>
      </c>
      <c r="E62" s="38">
        <v>0</v>
      </c>
      <c r="F62" s="38">
        <v>-400</v>
      </c>
      <c r="G62" s="38">
        <v>-400</v>
      </c>
      <c r="H62" s="38">
        <v>-1925</v>
      </c>
      <c r="I62" s="38">
        <v>-1375</v>
      </c>
      <c r="J62" s="38">
        <v>-785</v>
      </c>
      <c r="K62" s="38">
        <v>315</v>
      </c>
      <c r="L62" s="38">
        <v>3965</v>
      </c>
      <c r="M62" s="38">
        <v>-35</v>
      </c>
      <c r="N62" s="38">
        <v>3540</v>
      </c>
      <c r="O62" s="40">
        <v>2090</v>
      </c>
      <c r="P62" s="38">
        <v>1290</v>
      </c>
      <c r="Q62" s="38">
        <v>-260</v>
      </c>
      <c r="R62" s="38">
        <v>2332</v>
      </c>
      <c r="S62" s="38">
        <v>-902</v>
      </c>
      <c r="T62" s="38">
        <v>2038</v>
      </c>
      <c r="U62" s="38">
        <v>-608</v>
      </c>
      <c r="V62" s="38">
        <v>568</v>
      </c>
      <c r="W62" s="38">
        <v>-902</v>
      </c>
      <c r="X62" s="38">
        <v>2332</v>
      </c>
      <c r="Y62" s="38">
        <v>-902</v>
      </c>
      <c r="Z62" s="38">
        <v>2038</v>
      </c>
      <c r="AA62" s="40">
        <v>1982</v>
      </c>
      <c r="AB62" s="38">
        <v>1394</v>
      </c>
      <c r="AC62" s="38">
        <v>-1302</v>
      </c>
      <c r="AD62" s="38">
        <v>4284</v>
      </c>
      <c r="AE62" s="38">
        <v>-1302</v>
      </c>
      <c r="AF62" s="38">
        <v>3990</v>
      </c>
      <c r="AG62" s="38">
        <v>1932</v>
      </c>
      <c r="AH62" s="38">
        <v>1344</v>
      </c>
      <c r="AI62" s="38">
        <v>-1302</v>
      </c>
      <c r="AJ62" s="38">
        <v>4284</v>
      </c>
      <c r="AK62" s="38">
        <v>-1302</v>
      </c>
      <c r="AL62" s="38">
        <v>1344</v>
      </c>
      <c r="AM62" s="38">
        <v>1682</v>
      </c>
      <c r="AN62" s="38">
        <v>2020</v>
      </c>
      <c r="AO62" s="38">
        <v>-1602</v>
      </c>
      <c r="AP62" s="38">
        <v>5836</v>
      </c>
      <c r="AQ62" s="38">
        <v>-1602</v>
      </c>
      <c r="AR62" s="38">
        <v>5542</v>
      </c>
      <c r="AS62" s="38">
        <v>1632</v>
      </c>
      <c r="AT62" s="38">
        <v>1970</v>
      </c>
      <c r="AU62" s="38">
        <v>-1602</v>
      </c>
      <c r="AV62" s="38">
        <v>5836</v>
      </c>
      <c r="AW62" s="38">
        <v>-1602</v>
      </c>
      <c r="AX62" s="38">
        <v>1970</v>
      </c>
    </row>
    <row r="63" spans="2:50" x14ac:dyDescent="0.25">
      <c r="B63" s="6" t="s">
        <v>79</v>
      </c>
      <c r="C63" s="37"/>
      <c r="D63" s="37"/>
      <c r="E63" s="37"/>
      <c r="F63" s="37">
        <v>0</v>
      </c>
      <c r="G63" s="37"/>
      <c r="H63" s="37"/>
      <c r="I63" s="37">
        <v>231</v>
      </c>
      <c r="J63" s="37"/>
      <c r="K63" s="37"/>
      <c r="L63" s="37">
        <v>326</v>
      </c>
      <c r="M63" s="37"/>
      <c r="N63" s="37">
        <v>1315</v>
      </c>
      <c r="O63" s="39">
        <v>758</v>
      </c>
      <c r="P63" s="37"/>
      <c r="Q63" s="37"/>
      <c r="R63" s="37">
        <v>505</v>
      </c>
      <c r="S63" s="37"/>
      <c r="T63" s="37"/>
      <c r="U63" s="37">
        <v>630</v>
      </c>
      <c r="V63" s="37"/>
      <c r="W63" s="37"/>
      <c r="X63" s="37">
        <v>405</v>
      </c>
      <c r="Y63" s="37"/>
      <c r="Z63" s="37">
        <v>2170</v>
      </c>
      <c r="AA63" s="39">
        <v>630</v>
      </c>
      <c r="AB63" s="37"/>
      <c r="AC63" s="37"/>
      <c r="AD63" s="37">
        <v>615</v>
      </c>
      <c r="AE63" s="37"/>
      <c r="AF63" s="37"/>
      <c r="AG63" s="37">
        <v>870</v>
      </c>
      <c r="AH63" s="37"/>
      <c r="AI63" s="37"/>
      <c r="AJ63" s="37">
        <v>615</v>
      </c>
      <c r="AK63" s="37"/>
      <c r="AL63" s="37">
        <v>2835</v>
      </c>
      <c r="AM63" s="37">
        <v>735</v>
      </c>
      <c r="AN63" s="37"/>
      <c r="AO63" s="37"/>
      <c r="AP63" s="37">
        <v>662</v>
      </c>
      <c r="AQ63" s="37"/>
      <c r="AR63" s="37"/>
      <c r="AS63" s="37">
        <v>1059</v>
      </c>
      <c r="AT63" s="37"/>
      <c r="AU63" s="37"/>
      <c r="AV63" s="37">
        <v>662</v>
      </c>
      <c r="AW63" s="37"/>
      <c r="AX63" s="37">
        <v>3260</v>
      </c>
    </row>
    <row r="64" spans="2:50" x14ac:dyDescent="0.25">
      <c r="B64" s="34" t="s">
        <v>80</v>
      </c>
      <c r="C64" s="38">
        <v>0</v>
      </c>
      <c r="D64" s="38">
        <v>0</v>
      </c>
      <c r="E64" s="38">
        <v>0</v>
      </c>
      <c r="F64" s="38">
        <v>-400</v>
      </c>
      <c r="G64" s="38">
        <v>-400</v>
      </c>
      <c r="H64" s="38">
        <v>-1925</v>
      </c>
      <c r="I64" s="38">
        <v>-1606</v>
      </c>
      <c r="J64" s="38">
        <v>-785</v>
      </c>
      <c r="K64" s="38">
        <v>315</v>
      </c>
      <c r="L64" s="38">
        <v>3639</v>
      </c>
      <c r="M64" s="38">
        <v>-35</v>
      </c>
      <c r="N64" s="38">
        <v>2225</v>
      </c>
      <c r="O64" s="40">
        <v>1332</v>
      </c>
      <c r="P64" s="38">
        <v>1290</v>
      </c>
      <c r="Q64" s="38">
        <v>-260</v>
      </c>
      <c r="R64" s="38">
        <v>1827</v>
      </c>
      <c r="S64" s="38">
        <v>-902</v>
      </c>
      <c r="T64" s="38">
        <v>2038</v>
      </c>
      <c r="U64" s="38">
        <v>-1238</v>
      </c>
      <c r="V64" s="38">
        <v>568</v>
      </c>
      <c r="W64" s="38">
        <v>-902</v>
      </c>
      <c r="X64" s="38">
        <v>1927</v>
      </c>
      <c r="Y64" s="38">
        <v>-902</v>
      </c>
      <c r="Z64" s="38">
        <v>-132</v>
      </c>
      <c r="AA64" s="40">
        <v>1352</v>
      </c>
      <c r="AB64" s="38">
        <v>1394</v>
      </c>
      <c r="AC64" s="38">
        <v>-1302</v>
      </c>
      <c r="AD64" s="38">
        <v>3669</v>
      </c>
      <c r="AE64" s="38">
        <v>-1302</v>
      </c>
      <c r="AF64" s="38">
        <v>3990</v>
      </c>
      <c r="AG64" s="38">
        <v>1062</v>
      </c>
      <c r="AH64" s="38">
        <v>1344</v>
      </c>
      <c r="AI64" s="38">
        <v>-1302</v>
      </c>
      <c r="AJ64" s="38">
        <v>3669</v>
      </c>
      <c r="AK64" s="38">
        <v>-1302</v>
      </c>
      <c r="AL64" s="38">
        <v>-1491</v>
      </c>
      <c r="AM64" s="38">
        <v>947</v>
      </c>
      <c r="AN64" s="38">
        <v>2020</v>
      </c>
      <c r="AO64" s="38">
        <v>-1602</v>
      </c>
      <c r="AP64" s="38">
        <v>5174</v>
      </c>
      <c r="AQ64" s="38">
        <v>-1602</v>
      </c>
      <c r="AR64" s="38">
        <v>5542</v>
      </c>
      <c r="AS64" s="38">
        <v>573</v>
      </c>
      <c r="AT64" s="38">
        <v>1970</v>
      </c>
      <c r="AU64" s="38">
        <v>-1602</v>
      </c>
      <c r="AV64" s="38">
        <v>5174</v>
      </c>
      <c r="AW64" s="38">
        <v>-1602</v>
      </c>
      <c r="AX64" s="38">
        <v>-1290</v>
      </c>
    </row>
    <row r="72" spans="2:6" ht="30" x14ac:dyDescent="0.25">
      <c r="C72" s="15" t="s">
        <v>32</v>
      </c>
    </row>
    <row r="73" spans="2:6" x14ac:dyDescent="0.25">
      <c r="B73" s="5" t="s">
        <v>89</v>
      </c>
      <c r="C73">
        <v>2026</v>
      </c>
      <c r="D73">
        <v>2027</v>
      </c>
      <c r="E73">
        <v>2028</v>
      </c>
      <c r="F73">
        <v>2029</v>
      </c>
    </row>
    <row r="74" spans="2:6" x14ac:dyDescent="0.25">
      <c r="B74" s="6" t="s">
        <v>69</v>
      </c>
      <c r="C74" s="37">
        <v>26300</v>
      </c>
      <c r="D74" s="37">
        <v>43400</v>
      </c>
      <c r="E74" s="37">
        <v>56700</v>
      </c>
      <c r="F74" s="37">
        <v>65205</v>
      </c>
    </row>
    <row r="75" spans="2:6" x14ac:dyDescent="0.25">
      <c r="B75" s="6" t="s">
        <v>70</v>
      </c>
      <c r="C75" s="37">
        <v>23400</v>
      </c>
      <c r="D75" s="37">
        <v>34286</v>
      </c>
      <c r="E75" s="37">
        <v>41354</v>
      </c>
      <c r="F75" s="37">
        <v>45125</v>
      </c>
    </row>
    <row r="76" spans="2:6" x14ac:dyDescent="0.25">
      <c r="B76" s="34" t="s">
        <v>71</v>
      </c>
      <c r="C76" s="38">
        <v>2900</v>
      </c>
      <c r="D76" s="38">
        <v>9114</v>
      </c>
      <c r="E76" s="38">
        <v>15346</v>
      </c>
      <c r="F76" s="38">
        <v>20080</v>
      </c>
    </row>
    <row r="77" spans="2:6" x14ac:dyDescent="0.25">
      <c r="B77" s="6" t="s">
        <v>79</v>
      </c>
      <c r="C77" s="37">
        <v>1872</v>
      </c>
      <c r="D77" s="37">
        <v>4468</v>
      </c>
      <c r="E77" s="37">
        <v>5565</v>
      </c>
      <c r="F77" s="37">
        <v>6378</v>
      </c>
    </row>
    <row r="78" spans="2:6" x14ac:dyDescent="0.25">
      <c r="B78" s="34" t="s">
        <v>80</v>
      </c>
      <c r="C78" s="38">
        <v>1028</v>
      </c>
      <c r="D78" s="38">
        <v>4646</v>
      </c>
      <c r="E78" s="38">
        <v>9781</v>
      </c>
      <c r="F78" s="38">
        <v>13702</v>
      </c>
    </row>
  </sheetData>
  <pageMargins left="0.7" right="0.7" top="0.75" bottom="0.75" header="0.3" footer="0.3"/>
  <pageSetup paperSize="9" orientation="portrait" horizontalDpi="4294967293" verticalDpi="0" r:id="rId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A25A-0DA9-4AFA-B7F9-45774D813977}">
  <dimension ref="A1:AZ33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O30" sqref="AO30:AZ30"/>
    </sheetView>
  </sheetViews>
  <sheetFormatPr baseColWidth="10" defaultRowHeight="15" outlineLevelCol="1" x14ac:dyDescent="0.25"/>
  <cols>
    <col min="1" max="1" width="32.140625" bestFit="1" customWidth="1"/>
    <col min="2" max="4" width="24.28515625" customWidth="1"/>
    <col min="5" max="13" width="8.5703125" customWidth="1" outlineLevel="1"/>
    <col min="14" max="16" width="9.5703125" customWidth="1" outlineLevel="1"/>
    <col min="17" max="25" width="8.5703125" customWidth="1"/>
    <col min="26" max="28" width="9.5703125" customWidth="1"/>
  </cols>
  <sheetData>
    <row r="1" spans="1:52" x14ac:dyDescent="0.25">
      <c r="N1">
        <f>1700*0.75</f>
        <v>1275</v>
      </c>
    </row>
    <row r="2" spans="1:52" s="3" customFormat="1" x14ac:dyDescent="0.25">
      <c r="A2" s="3" t="s">
        <v>3</v>
      </c>
      <c r="B2" s="3" t="s">
        <v>68</v>
      </c>
      <c r="C2" s="3" t="s">
        <v>115</v>
      </c>
      <c r="D2" s="3" t="s">
        <v>37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36" t="s">
        <v>90</v>
      </c>
      <c r="AD2" s="36" t="s">
        <v>91</v>
      </c>
      <c r="AE2" s="36" t="s">
        <v>92</v>
      </c>
      <c r="AF2" s="36" t="s">
        <v>93</v>
      </c>
      <c r="AG2" s="36" t="s">
        <v>94</v>
      </c>
      <c r="AH2" s="36" t="s">
        <v>95</v>
      </c>
      <c r="AI2" s="36" t="s">
        <v>96</v>
      </c>
      <c r="AJ2" s="36" t="s">
        <v>97</v>
      </c>
      <c r="AK2" s="36" t="s">
        <v>98</v>
      </c>
      <c r="AL2" s="36" t="s">
        <v>99</v>
      </c>
      <c r="AM2" s="36" t="s">
        <v>100</v>
      </c>
      <c r="AN2" s="36" t="s">
        <v>101</v>
      </c>
      <c r="AO2" s="4" t="s">
        <v>102</v>
      </c>
      <c r="AP2" s="4" t="s">
        <v>103</v>
      </c>
      <c r="AQ2" s="4" t="s">
        <v>104</v>
      </c>
      <c r="AR2" s="4" t="s">
        <v>105</v>
      </c>
      <c r="AS2" s="4" t="s">
        <v>106</v>
      </c>
      <c r="AT2" s="4" t="s">
        <v>107</v>
      </c>
      <c r="AU2" s="4" t="s">
        <v>108</v>
      </c>
      <c r="AV2" s="4" t="s">
        <v>109</v>
      </c>
      <c r="AW2" s="4" t="s">
        <v>110</v>
      </c>
      <c r="AX2" s="4" t="s">
        <v>111</v>
      </c>
      <c r="AY2" s="4" t="s">
        <v>112</v>
      </c>
      <c r="AZ2" s="4" t="s">
        <v>113</v>
      </c>
    </row>
    <row r="3" spans="1:52" s="13" customFormat="1" ht="27" x14ac:dyDescent="0.25">
      <c r="D3" s="16" t="s">
        <v>38</v>
      </c>
      <c r="E3" s="16">
        <v>0</v>
      </c>
      <c r="F3" s="16">
        <v>0</v>
      </c>
      <c r="G3" s="16">
        <v>0</v>
      </c>
      <c r="H3" s="16">
        <v>0.2</v>
      </c>
      <c r="I3" s="16">
        <v>0.2</v>
      </c>
      <c r="J3" s="16">
        <v>0.2</v>
      </c>
      <c r="K3" s="16">
        <v>0.35</v>
      </c>
      <c r="L3" s="16">
        <v>0.1</v>
      </c>
      <c r="M3" s="16">
        <v>0.35</v>
      </c>
      <c r="N3" s="16">
        <v>0.35</v>
      </c>
      <c r="O3" s="16">
        <v>0.35</v>
      </c>
      <c r="P3" s="16">
        <v>0.1</v>
      </c>
      <c r="Q3" s="16">
        <v>0.6</v>
      </c>
      <c r="R3" s="16">
        <v>0.6</v>
      </c>
      <c r="S3" s="16">
        <v>0.6</v>
      </c>
      <c r="T3" s="16">
        <v>0.6</v>
      </c>
      <c r="U3" s="16">
        <v>0.6</v>
      </c>
      <c r="V3" s="16">
        <v>0.6</v>
      </c>
      <c r="W3" s="16">
        <v>0.6</v>
      </c>
      <c r="X3" s="16">
        <v>0.6</v>
      </c>
      <c r="Y3" s="16">
        <v>0.6</v>
      </c>
      <c r="Z3" s="16">
        <v>0.6</v>
      </c>
      <c r="AA3" s="16">
        <v>0.6</v>
      </c>
      <c r="AB3" s="16">
        <v>0.6</v>
      </c>
      <c r="AC3" s="16">
        <v>0.6</v>
      </c>
      <c r="AD3" s="16">
        <v>0.6</v>
      </c>
      <c r="AE3" s="16">
        <v>0.6</v>
      </c>
      <c r="AF3" s="16">
        <v>0.6</v>
      </c>
      <c r="AG3" s="16">
        <v>0.6</v>
      </c>
      <c r="AH3" s="16">
        <v>0.6</v>
      </c>
      <c r="AI3" s="16">
        <v>0.6</v>
      </c>
      <c r="AJ3" s="16">
        <v>0.6</v>
      </c>
      <c r="AK3" s="16">
        <v>0.6</v>
      </c>
      <c r="AL3" s="16">
        <v>0.6</v>
      </c>
      <c r="AM3" s="16">
        <v>0.6</v>
      </c>
      <c r="AN3" s="16">
        <v>0.6</v>
      </c>
      <c r="AO3" s="16">
        <v>0.6</v>
      </c>
      <c r="AP3" s="16">
        <v>0.6</v>
      </c>
      <c r="AQ3" s="16">
        <v>0.6</v>
      </c>
      <c r="AR3" s="16">
        <v>0.6</v>
      </c>
      <c r="AS3" s="16">
        <v>0.6</v>
      </c>
      <c r="AT3" s="16">
        <v>0.6</v>
      </c>
      <c r="AU3" s="16">
        <v>0.6</v>
      </c>
      <c r="AV3" s="16">
        <v>0.6</v>
      </c>
      <c r="AW3" s="16">
        <v>0.6</v>
      </c>
      <c r="AX3" s="16">
        <v>0.6</v>
      </c>
      <c r="AY3" s="16">
        <v>0.6</v>
      </c>
      <c r="AZ3" s="16">
        <v>0.6</v>
      </c>
    </row>
    <row r="4" spans="1:52" s="14" customFormat="1" x14ac:dyDescent="0.25">
      <c r="D4" s="17" t="s">
        <v>57</v>
      </c>
      <c r="E4" s="17">
        <v>1</v>
      </c>
      <c r="F4" s="17">
        <v>1</v>
      </c>
      <c r="G4" s="17">
        <v>1</v>
      </c>
      <c r="H4" s="17">
        <v>1</v>
      </c>
      <c r="I4" s="17">
        <v>1</v>
      </c>
      <c r="J4" s="17">
        <v>1</v>
      </c>
      <c r="K4" s="17">
        <v>1</v>
      </c>
      <c r="L4" s="17">
        <v>1</v>
      </c>
      <c r="M4" s="17">
        <v>1</v>
      </c>
      <c r="N4" s="17">
        <v>1</v>
      </c>
      <c r="O4" s="17">
        <v>1</v>
      </c>
      <c r="P4" s="17">
        <v>1</v>
      </c>
      <c r="Q4" s="17">
        <v>1</v>
      </c>
      <c r="R4" s="17">
        <v>1</v>
      </c>
      <c r="S4" s="17">
        <v>1</v>
      </c>
      <c r="T4" s="17">
        <v>1</v>
      </c>
      <c r="U4" s="17">
        <v>1</v>
      </c>
      <c r="V4" s="17">
        <v>1</v>
      </c>
      <c r="W4" s="17">
        <v>1</v>
      </c>
      <c r="X4" s="17">
        <v>1</v>
      </c>
      <c r="Y4" s="17">
        <v>1</v>
      </c>
      <c r="Z4" s="17">
        <v>1</v>
      </c>
      <c r="AA4" s="17">
        <v>1</v>
      </c>
      <c r="AB4" s="17">
        <v>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">
        <v>1</v>
      </c>
      <c r="AJ4" s="17">
        <v>1</v>
      </c>
      <c r="AK4" s="17">
        <v>1</v>
      </c>
      <c r="AL4" s="17">
        <v>1</v>
      </c>
      <c r="AM4" s="17">
        <v>1</v>
      </c>
      <c r="AN4" s="17">
        <v>1</v>
      </c>
      <c r="AO4" s="17">
        <v>1</v>
      </c>
      <c r="AP4" s="17">
        <v>1</v>
      </c>
      <c r="AQ4" s="17">
        <v>1</v>
      </c>
      <c r="AR4" s="17">
        <v>1</v>
      </c>
      <c r="AS4" s="17">
        <v>1</v>
      </c>
      <c r="AT4" s="17">
        <v>1</v>
      </c>
      <c r="AU4" s="17">
        <v>1</v>
      </c>
      <c r="AV4" s="17">
        <v>1</v>
      </c>
      <c r="AW4" s="17">
        <v>1</v>
      </c>
      <c r="AX4" s="17">
        <v>1</v>
      </c>
      <c r="AY4" s="17">
        <v>1</v>
      </c>
      <c r="AZ4" s="17">
        <v>1</v>
      </c>
    </row>
    <row r="5" spans="1:52" x14ac:dyDescent="0.25">
      <c r="D5" s="18" t="s">
        <v>49</v>
      </c>
      <c r="E5" s="20">
        <v>-1500</v>
      </c>
      <c r="F5" s="20">
        <v>-1500</v>
      </c>
      <c r="G5" s="20">
        <v>-1500</v>
      </c>
      <c r="H5" s="20">
        <v>-1500</v>
      </c>
      <c r="I5" s="20">
        <v>-1500</v>
      </c>
      <c r="J5" s="20">
        <v>-1500</v>
      </c>
      <c r="K5" s="20">
        <v>-1500</v>
      </c>
      <c r="L5" s="20">
        <v>-1500</v>
      </c>
      <c r="M5" s="20">
        <v>-1500</v>
      </c>
      <c r="N5" s="20">
        <v>-1500</v>
      </c>
      <c r="O5" s="20">
        <v>-1500</v>
      </c>
      <c r="P5" s="20">
        <v>-1500</v>
      </c>
      <c r="Q5" s="20">
        <v>-1500</v>
      </c>
      <c r="R5" s="20">
        <v>-1500</v>
      </c>
      <c r="S5" s="20">
        <v>-1500</v>
      </c>
      <c r="T5" s="20">
        <v>-1500</v>
      </c>
      <c r="U5" s="20">
        <v>-1500</v>
      </c>
      <c r="V5" s="20">
        <v>-1500</v>
      </c>
      <c r="W5" s="20">
        <v>-1500</v>
      </c>
      <c r="X5" s="20">
        <v>-1500</v>
      </c>
      <c r="Y5" s="20">
        <v>-1500</v>
      </c>
      <c r="Z5" s="20">
        <v>-1500</v>
      </c>
      <c r="AA5" s="20">
        <v>-1500</v>
      </c>
      <c r="AB5" s="20">
        <v>-1500</v>
      </c>
      <c r="AC5" s="20">
        <v>-1500</v>
      </c>
      <c r="AD5" s="20">
        <v>-1500</v>
      </c>
      <c r="AE5" s="20">
        <v>-1500</v>
      </c>
      <c r="AF5" s="20">
        <v>-1500</v>
      </c>
      <c r="AG5" s="20">
        <v>-1500</v>
      </c>
      <c r="AH5" s="20">
        <v>-1500</v>
      </c>
      <c r="AI5" s="20">
        <v>-1500</v>
      </c>
      <c r="AJ5" s="20">
        <v>-1500</v>
      </c>
      <c r="AK5" s="20">
        <v>-1500</v>
      </c>
      <c r="AL5" s="20">
        <v>-1500</v>
      </c>
      <c r="AM5" s="20">
        <v>-1500</v>
      </c>
      <c r="AN5" s="20">
        <v>-1500</v>
      </c>
      <c r="AO5" s="20">
        <v>-1500</v>
      </c>
      <c r="AP5" s="20">
        <v>-1500</v>
      </c>
      <c r="AQ5" s="20">
        <v>-1500</v>
      </c>
      <c r="AR5" s="20">
        <v>-1500</v>
      </c>
      <c r="AS5" s="20">
        <v>-1500</v>
      </c>
      <c r="AT5" s="20">
        <v>-1500</v>
      </c>
      <c r="AU5" s="20">
        <v>-1500</v>
      </c>
      <c r="AV5" s="20">
        <v>-1500</v>
      </c>
      <c r="AW5" s="20">
        <v>-1500</v>
      </c>
      <c r="AX5" s="20">
        <v>-1500</v>
      </c>
      <c r="AY5" s="20">
        <v>-1500</v>
      </c>
      <c r="AZ5" s="20">
        <v>-1500</v>
      </c>
    </row>
    <row r="6" spans="1:52" s="14" customFormat="1" x14ac:dyDescent="0.25">
      <c r="D6" s="17" t="s">
        <v>48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</row>
    <row r="7" spans="1:52" s="14" customFormat="1" x14ac:dyDescent="0.25">
      <c r="D7" s="17" t="s">
        <v>39</v>
      </c>
      <c r="E7" s="17">
        <v>75</v>
      </c>
      <c r="F7" s="17">
        <v>75</v>
      </c>
      <c r="G7" s="17">
        <v>75</v>
      </c>
      <c r="H7" s="17">
        <v>75</v>
      </c>
      <c r="I7" s="17">
        <v>75</v>
      </c>
      <c r="J7" s="17">
        <v>75</v>
      </c>
      <c r="K7" s="17">
        <v>75</v>
      </c>
      <c r="L7" s="17">
        <v>75</v>
      </c>
      <c r="M7" s="17">
        <v>75</v>
      </c>
      <c r="N7" s="17">
        <v>75</v>
      </c>
      <c r="O7" s="17">
        <v>75</v>
      </c>
      <c r="P7" s="17">
        <v>75</v>
      </c>
      <c r="Q7" s="17">
        <v>75</v>
      </c>
      <c r="R7" s="17">
        <v>75</v>
      </c>
      <c r="S7" s="17">
        <v>75</v>
      </c>
      <c r="T7" s="17">
        <v>75</v>
      </c>
      <c r="U7" s="17">
        <v>75</v>
      </c>
      <c r="V7" s="17">
        <v>75</v>
      </c>
      <c r="W7" s="17">
        <v>75</v>
      </c>
      <c r="X7" s="17">
        <v>75</v>
      </c>
      <c r="Y7" s="17">
        <v>75</v>
      </c>
      <c r="Z7" s="17">
        <v>75</v>
      </c>
      <c r="AA7" s="17">
        <v>75</v>
      </c>
      <c r="AB7" s="17">
        <v>75</v>
      </c>
      <c r="AC7" s="17">
        <v>75</v>
      </c>
      <c r="AD7" s="17">
        <v>75</v>
      </c>
      <c r="AE7" s="17">
        <v>75</v>
      </c>
      <c r="AF7" s="17">
        <v>75</v>
      </c>
      <c r="AG7" s="17">
        <v>75</v>
      </c>
      <c r="AH7" s="17">
        <v>75</v>
      </c>
      <c r="AI7" s="17">
        <v>75</v>
      </c>
      <c r="AJ7" s="17">
        <v>75</v>
      </c>
      <c r="AK7" s="17">
        <v>75</v>
      </c>
      <c r="AL7" s="17">
        <v>75</v>
      </c>
      <c r="AM7" s="17">
        <v>75</v>
      </c>
      <c r="AN7" s="17">
        <v>75</v>
      </c>
      <c r="AO7" s="17">
        <v>75</v>
      </c>
      <c r="AP7" s="17">
        <v>75</v>
      </c>
      <c r="AQ7" s="17">
        <v>75</v>
      </c>
      <c r="AR7" s="17">
        <v>75</v>
      </c>
      <c r="AS7" s="17">
        <v>75</v>
      </c>
      <c r="AT7" s="17">
        <v>75</v>
      </c>
      <c r="AU7" s="17">
        <v>75</v>
      </c>
      <c r="AV7" s="17">
        <v>75</v>
      </c>
      <c r="AW7" s="17">
        <v>75</v>
      </c>
      <c r="AX7" s="17">
        <v>75</v>
      </c>
      <c r="AY7" s="17">
        <v>75</v>
      </c>
      <c r="AZ7" s="17">
        <v>75</v>
      </c>
    </row>
    <row r="8" spans="1:52" x14ac:dyDescent="0.25">
      <c r="D8" s="18" t="s">
        <v>43</v>
      </c>
      <c r="E8" s="18">
        <v>-50</v>
      </c>
      <c r="F8" s="18">
        <v>-50</v>
      </c>
      <c r="G8" s="18">
        <v>-50</v>
      </c>
      <c r="H8" s="18">
        <v>-50</v>
      </c>
      <c r="I8" s="18">
        <v>-50</v>
      </c>
      <c r="J8" s="18">
        <v>-50</v>
      </c>
      <c r="K8" s="18">
        <v>-50</v>
      </c>
      <c r="L8" s="18">
        <v>-50</v>
      </c>
      <c r="M8" s="18">
        <v>-50</v>
      </c>
      <c r="N8" s="18">
        <v>-50</v>
      </c>
      <c r="O8" s="18">
        <v>-50</v>
      </c>
      <c r="P8" s="18">
        <v>-50</v>
      </c>
      <c r="Q8" s="18">
        <v>-50</v>
      </c>
      <c r="R8" s="18">
        <v>-50</v>
      </c>
      <c r="S8" s="18">
        <v>-50</v>
      </c>
      <c r="T8" s="18">
        <v>-50</v>
      </c>
      <c r="U8" s="18">
        <v>-50</v>
      </c>
      <c r="V8" s="18">
        <v>-50</v>
      </c>
      <c r="W8" s="18">
        <v>-50</v>
      </c>
      <c r="X8" s="18">
        <v>-50</v>
      </c>
      <c r="Y8" s="18">
        <v>-50</v>
      </c>
      <c r="Z8" s="18">
        <v>-50</v>
      </c>
      <c r="AA8" s="18">
        <v>-50</v>
      </c>
      <c r="AB8" s="18">
        <v>-50</v>
      </c>
      <c r="AC8" s="18">
        <v>-50</v>
      </c>
      <c r="AD8" s="18">
        <v>-50</v>
      </c>
      <c r="AE8" s="18">
        <v>-50</v>
      </c>
      <c r="AF8" s="18">
        <v>-50</v>
      </c>
      <c r="AG8" s="18">
        <v>-50</v>
      </c>
      <c r="AH8" s="18">
        <v>-50</v>
      </c>
      <c r="AI8" s="18">
        <v>-50</v>
      </c>
      <c r="AJ8" s="18">
        <v>-50</v>
      </c>
      <c r="AK8" s="18">
        <v>-50</v>
      </c>
      <c r="AL8" s="18">
        <v>-50</v>
      </c>
      <c r="AM8" s="18">
        <v>-50</v>
      </c>
      <c r="AN8" s="18">
        <v>-50</v>
      </c>
      <c r="AO8" s="18">
        <v>-50</v>
      </c>
      <c r="AP8" s="18">
        <v>-50</v>
      </c>
      <c r="AQ8" s="18">
        <v>-50</v>
      </c>
      <c r="AR8" s="18">
        <v>-50</v>
      </c>
      <c r="AS8" s="18">
        <v>-50</v>
      </c>
      <c r="AT8" s="18">
        <v>-50</v>
      </c>
      <c r="AU8" s="18">
        <v>-50</v>
      </c>
      <c r="AV8" s="18">
        <v>-50</v>
      </c>
      <c r="AW8" s="18">
        <v>-50</v>
      </c>
      <c r="AX8" s="18">
        <v>-50</v>
      </c>
      <c r="AY8" s="18">
        <v>-50</v>
      </c>
      <c r="AZ8" s="18">
        <v>-50</v>
      </c>
    </row>
    <row r="9" spans="1:52" x14ac:dyDescent="0.25">
      <c r="A9" s="12"/>
      <c r="D9" s="18" t="s">
        <v>46</v>
      </c>
      <c r="E9" s="19">
        <v>0.05</v>
      </c>
      <c r="F9" s="19">
        <v>0.05</v>
      </c>
      <c r="G9" s="19">
        <v>0.05</v>
      </c>
      <c r="H9" s="19">
        <v>0.05</v>
      </c>
      <c r="I9" s="19">
        <v>0.05</v>
      </c>
      <c r="J9" s="19">
        <v>0.05</v>
      </c>
      <c r="K9" s="19">
        <v>0.03</v>
      </c>
      <c r="L9" s="19">
        <v>0.03</v>
      </c>
      <c r="M9" s="19">
        <v>0.03</v>
      </c>
      <c r="N9" s="19">
        <v>0.03</v>
      </c>
      <c r="O9" s="19">
        <v>0.03</v>
      </c>
      <c r="P9" s="19">
        <v>0.03</v>
      </c>
      <c r="Q9" s="19">
        <v>0.02</v>
      </c>
      <c r="R9" s="19">
        <v>0.02</v>
      </c>
      <c r="S9" s="19">
        <v>0.02</v>
      </c>
      <c r="T9" s="19">
        <v>0.02</v>
      </c>
      <c r="U9" s="19">
        <v>0.02</v>
      </c>
      <c r="V9" s="19">
        <v>0.02</v>
      </c>
      <c r="W9" s="19">
        <v>0.02</v>
      </c>
      <c r="X9" s="19">
        <v>0.02</v>
      </c>
      <c r="Y9" s="19">
        <v>0.02</v>
      </c>
      <c r="Z9" s="19">
        <v>0.02</v>
      </c>
      <c r="AA9" s="19">
        <v>0.02</v>
      </c>
      <c r="AB9" s="19">
        <v>0.02</v>
      </c>
      <c r="AC9" s="19">
        <v>0.02</v>
      </c>
      <c r="AD9" s="19">
        <v>0.02</v>
      </c>
      <c r="AE9" s="19">
        <v>0.02</v>
      </c>
      <c r="AF9" s="19">
        <v>0.02</v>
      </c>
      <c r="AG9" s="19">
        <v>0.02</v>
      </c>
      <c r="AH9" s="19">
        <v>0.02</v>
      </c>
      <c r="AI9" s="19">
        <v>0.02</v>
      </c>
      <c r="AJ9" s="19">
        <v>0.02</v>
      </c>
      <c r="AK9" s="19">
        <v>0.02</v>
      </c>
      <c r="AL9" s="19">
        <v>0.02</v>
      </c>
      <c r="AM9" s="19">
        <v>0.02</v>
      </c>
      <c r="AN9" s="19">
        <v>0.02</v>
      </c>
      <c r="AO9" s="19">
        <v>0.02</v>
      </c>
      <c r="AP9" s="19">
        <v>0.02</v>
      </c>
      <c r="AQ9" s="19">
        <v>0.02</v>
      </c>
      <c r="AR9" s="19">
        <v>0.02</v>
      </c>
      <c r="AS9" s="19">
        <v>0.02</v>
      </c>
      <c r="AT9" s="19">
        <v>0.02</v>
      </c>
      <c r="AU9" s="19">
        <v>0.02</v>
      </c>
      <c r="AV9" s="19">
        <v>0.02</v>
      </c>
      <c r="AW9" s="19">
        <v>0.02</v>
      </c>
      <c r="AX9" s="19">
        <v>0.02</v>
      </c>
      <c r="AY9" s="19">
        <v>0.02</v>
      </c>
      <c r="AZ9" s="19">
        <v>0.02</v>
      </c>
    </row>
    <row r="10" spans="1:52" x14ac:dyDescent="0.25">
      <c r="A10" s="8" t="s">
        <v>34</v>
      </c>
      <c r="B10" t="s">
        <v>118</v>
      </c>
      <c r="C10" t="s">
        <v>85</v>
      </c>
      <c r="H10" s="7">
        <v>1750</v>
      </c>
      <c r="I10">
        <v>1750</v>
      </c>
      <c r="K10" s="7"/>
      <c r="N10" s="7"/>
      <c r="Q10">
        <v>2000</v>
      </c>
      <c r="AC10" s="14">
        <v>3000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3000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3000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3000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</row>
    <row r="11" spans="1:52" x14ac:dyDescent="0.25">
      <c r="B11" t="s">
        <v>116</v>
      </c>
      <c r="C11" t="s">
        <v>117</v>
      </c>
      <c r="F11" s="2"/>
      <c r="J11">
        <v>0</v>
      </c>
      <c r="K11">
        <v>750</v>
      </c>
      <c r="L11">
        <v>750</v>
      </c>
      <c r="M11">
        <v>750</v>
      </c>
      <c r="N11">
        <v>500</v>
      </c>
      <c r="O11">
        <v>500</v>
      </c>
      <c r="P11">
        <v>500</v>
      </c>
      <c r="Q11">
        <v>500</v>
      </c>
      <c r="R11">
        <v>500</v>
      </c>
      <c r="S11">
        <v>500</v>
      </c>
      <c r="T11">
        <v>500</v>
      </c>
      <c r="U11">
        <v>500</v>
      </c>
      <c r="V11">
        <v>500</v>
      </c>
      <c r="W11">
        <v>500</v>
      </c>
      <c r="X11">
        <v>500</v>
      </c>
      <c r="Y11">
        <v>500</v>
      </c>
      <c r="Z11">
        <v>500</v>
      </c>
      <c r="AA11">
        <v>500</v>
      </c>
      <c r="AB11">
        <v>500</v>
      </c>
      <c r="AC11">
        <v>500</v>
      </c>
      <c r="AD11">
        <v>500</v>
      </c>
      <c r="AE11">
        <v>500</v>
      </c>
      <c r="AF11">
        <v>500</v>
      </c>
      <c r="AG11">
        <v>500</v>
      </c>
      <c r="AH11">
        <v>500</v>
      </c>
      <c r="AI11">
        <v>500</v>
      </c>
      <c r="AJ11">
        <v>500</v>
      </c>
      <c r="AK11">
        <v>500</v>
      </c>
      <c r="AL11">
        <v>500</v>
      </c>
      <c r="AM11">
        <v>500</v>
      </c>
      <c r="AN11">
        <v>500</v>
      </c>
      <c r="AO11">
        <v>500</v>
      </c>
      <c r="AP11">
        <v>500</v>
      </c>
      <c r="AQ11">
        <v>500</v>
      </c>
      <c r="AR11">
        <v>500</v>
      </c>
      <c r="AS11">
        <v>500</v>
      </c>
      <c r="AT11">
        <v>500</v>
      </c>
      <c r="AU11">
        <v>500</v>
      </c>
      <c r="AV11">
        <v>500</v>
      </c>
      <c r="AW11">
        <v>500</v>
      </c>
      <c r="AX11">
        <v>500</v>
      </c>
      <c r="AY11">
        <v>500</v>
      </c>
      <c r="AZ11">
        <v>500</v>
      </c>
    </row>
    <row r="12" spans="1:52" x14ac:dyDescent="0.25">
      <c r="B12" t="s">
        <v>116</v>
      </c>
      <c r="C12" t="s">
        <v>86</v>
      </c>
      <c r="F12" s="2"/>
      <c r="H12" s="7"/>
      <c r="J12">
        <v>0</v>
      </c>
      <c r="K12" s="7">
        <v>0</v>
      </c>
      <c r="L12">
        <v>0</v>
      </c>
      <c r="M12">
        <v>1275</v>
      </c>
      <c r="N12">
        <v>1275</v>
      </c>
      <c r="O12">
        <v>1275</v>
      </c>
      <c r="P12">
        <f>1700/2</f>
        <v>850</v>
      </c>
      <c r="Q12">
        <f t="shared" ref="Q12:AZ12" si="0">1700/2</f>
        <v>850</v>
      </c>
      <c r="R12">
        <f t="shared" si="0"/>
        <v>850</v>
      </c>
      <c r="S12">
        <f t="shared" si="0"/>
        <v>850</v>
      </c>
      <c r="T12">
        <f t="shared" si="0"/>
        <v>850</v>
      </c>
      <c r="U12">
        <f t="shared" si="0"/>
        <v>850</v>
      </c>
      <c r="V12">
        <f t="shared" si="0"/>
        <v>850</v>
      </c>
      <c r="W12">
        <f t="shared" si="0"/>
        <v>850</v>
      </c>
      <c r="X12">
        <f t="shared" si="0"/>
        <v>850</v>
      </c>
      <c r="Y12">
        <f t="shared" si="0"/>
        <v>850</v>
      </c>
      <c r="Z12">
        <f t="shared" si="0"/>
        <v>850</v>
      </c>
      <c r="AA12">
        <f t="shared" si="0"/>
        <v>850</v>
      </c>
      <c r="AB12">
        <f t="shared" si="0"/>
        <v>850</v>
      </c>
      <c r="AC12">
        <f t="shared" si="0"/>
        <v>850</v>
      </c>
      <c r="AD12">
        <f t="shared" si="0"/>
        <v>850</v>
      </c>
      <c r="AE12">
        <f t="shared" si="0"/>
        <v>850</v>
      </c>
      <c r="AF12">
        <f t="shared" si="0"/>
        <v>850</v>
      </c>
      <c r="AG12">
        <f t="shared" si="0"/>
        <v>850</v>
      </c>
      <c r="AH12">
        <f t="shared" si="0"/>
        <v>850</v>
      </c>
      <c r="AI12">
        <f t="shared" si="0"/>
        <v>850</v>
      </c>
      <c r="AJ12">
        <f t="shared" si="0"/>
        <v>850</v>
      </c>
      <c r="AK12">
        <f t="shared" si="0"/>
        <v>850</v>
      </c>
      <c r="AL12">
        <f t="shared" si="0"/>
        <v>850</v>
      </c>
      <c r="AM12">
        <f t="shared" si="0"/>
        <v>850</v>
      </c>
      <c r="AN12">
        <f t="shared" si="0"/>
        <v>850</v>
      </c>
      <c r="AO12">
        <f t="shared" si="0"/>
        <v>850</v>
      </c>
      <c r="AP12">
        <f t="shared" si="0"/>
        <v>850</v>
      </c>
      <c r="AQ12">
        <f t="shared" si="0"/>
        <v>850</v>
      </c>
      <c r="AR12">
        <f t="shared" si="0"/>
        <v>850</v>
      </c>
      <c r="AS12">
        <f t="shared" si="0"/>
        <v>850</v>
      </c>
      <c r="AT12">
        <f t="shared" si="0"/>
        <v>850</v>
      </c>
      <c r="AU12">
        <f t="shared" si="0"/>
        <v>850</v>
      </c>
      <c r="AV12">
        <f t="shared" si="0"/>
        <v>850</v>
      </c>
      <c r="AW12">
        <f t="shared" si="0"/>
        <v>850</v>
      </c>
      <c r="AX12">
        <f t="shared" si="0"/>
        <v>850</v>
      </c>
      <c r="AY12">
        <f t="shared" si="0"/>
        <v>850</v>
      </c>
      <c r="AZ12">
        <f t="shared" si="0"/>
        <v>850</v>
      </c>
    </row>
    <row r="13" spans="1:52" x14ac:dyDescent="0.25">
      <c r="B13" t="s">
        <v>116</v>
      </c>
      <c r="C13" t="s">
        <v>84</v>
      </c>
      <c r="F13" s="2"/>
      <c r="H13" s="7"/>
      <c r="J13">
        <v>1125</v>
      </c>
      <c r="K13">
        <v>1125</v>
      </c>
      <c r="L13">
        <v>1125</v>
      </c>
      <c r="M13">
        <v>750</v>
      </c>
      <c r="N13">
        <v>750</v>
      </c>
      <c r="O13">
        <v>750</v>
      </c>
      <c r="P13">
        <v>750</v>
      </c>
      <c r="Q13">
        <v>750</v>
      </c>
      <c r="R13">
        <v>750</v>
      </c>
      <c r="S13">
        <v>750</v>
      </c>
      <c r="T13">
        <v>750</v>
      </c>
      <c r="U13">
        <v>750</v>
      </c>
      <c r="V13">
        <v>750</v>
      </c>
      <c r="W13">
        <v>750</v>
      </c>
      <c r="X13">
        <v>750</v>
      </c>
      <c r="Y13">
        <v>750</v>
      </c>
      <c r="Z13">
        <v>750</v>
      </c>
      <c r="AA13">
        <v>750</v>
      </c>
      <c r="AB13">
        <v>750</v>
      </c>
      <c r="AC13">
        <v>750</v>
      </c>
      <c r="AD13">
        <v>750</v>
      </c>
      <c r="AE13">
        <v>750</v>
      </c>
      <c r="AF13">
        <v>750</v>
      </c>
      <c r="AG13">
        <v>750</v>
      </c>
      <c r="AH13">
        <v>750</v>
      </c>
      <c r="AI13">
        <v>750</v>
      </c>
      <c r="AJ13">
        <v>750</v>
      </c>
      <c r="AK13">
        <v>750</v>
      </c>
      <c r="AL13">
        <v>750</v>
      </c>
      <c r="AM13">
        <v>750</v>
      </c>
      <c r="AN13">
        <v>750</v>
      </c>
      <c r="AO13">
        <v>750</v>
      </c>
      <c r="AP13">
        <v>750</v>
      </c>
      <c r="AQ13">
        <v>750</v>
      </c>
      <c r="AR13">
        <v>750</v>
      </c>
      <c r="AS13">
        <v>750</v>
      </c>
      <c r="AT13">
        <v>750</v>
      </c>
      <c r="AU13">
        <v>750</v>
      </c>
      <c r="AV13">
        <v>750</v>
      </c>
      <c r="AW13">
        <v>750</v>
      </c>
      <c r="AX13">
        <v>750</v>
      </c>
      <c r="AY13">
        <v>750</v>
      </c>
      <c r="AZ13">
        <v>750</v>
      </c>
    </row>
    <row r="14" spans="1:52" x14ac:dyDescent="0.25">
      <c r="B14" t="s">
        <v>116</v>
      </c>
      <c r="C14" t="s">
        <v>119</v>
      </c>
      <c r="F14" s="2"/>
      <c r="H14" s="7"/>
      <c r="K14" s="7"/>
      <c r="N14">
        <v>4000</v>
      </c>
      <c r="P14" s="7">
        <v>4000</v>
      </c>
      <c r="R14">
        <v>1500</v>
      </c>
      <c r="S14">
        <v>0</v>
      </c>
      <c r="T14">
        <v>3000</v>
      </c>
      <c r="U14">
        <v>0</v>
      </c>
      <c r="V14" s="7">
        <v>3000</v>
      </c>
      <c r="W14">
        <v>0</v>
      </c>
      <c r="X14">
        <v>1500</v>
      </c>
      <c r="Y14">
        <v>0</v>
      </c>
      <c r="Z14">
        <v>3000</v>
      </c>
      <c r="AA14">
        <v>0</v>
      </c>
      <c r="AB14" s="7">
        <v>3000</v>
      </c>
      <c r="AD14">
        <v>2700</v>
      </c>
      <c r="AE14">
        <v>0</v>
      </c>
      <c r="AF14">
        <v>5400</v>
      </c>
      <c r="AG14">
        <v>0</v>
      </c>
      <c r="AH14" s="7">
        <v>5400</v>
      </c>
      <c r="AI14">
        <v>0</v>
      </c>
      <c r="AJ14">
        <v>2700</v>
      </c>
      <c r="AK14">
        <v>0</v>
      </c>
      <c r="AL14">
        <v>5400</v>
      </c>
      <c r="AM14">
        <v>0</v>
      </c>
      <c r="AN14">
        <v>2700</v>
      </c>
      <c r="AO14">
        <v>0</v>
      </c>
      <c r="AP14">
        <v>3645.0000000000005</v>
      </c>
      <c r="AQ14">
        <v>0</v>
      </c>
      <c r="AR14">
        <v>7290.0000000000009</v>
      </c>
      <c r="AS14">
        <v>0</v>
      </c>
      <c r="AT14" s="7">
        <v>7290.0000000000009</v>
      </c>
      <c r="AU14">
        <v>0</v>
      </c>
      <c r="AV14">
        <v>3645.0000000000005</v>
      </c>
      <c r="AW14">
        <v>0</v>
      </c>
      <c r="AX14">
        <v>7290.0000000000009</v>
      </c>
      <c r="AY14">
        <v>0</v>
      </c>
      <c r="AZ14">
        <v>3645.0000000000005</v>
      </c>
    </row>
    <row r="15" spans="1:52" x14ac:dyDescent="0.25">
      <c r="B15" t="s">
        <v>31</v>
      </c>
      <c r="H15">
        <v>0</v>
      </c>
      <c r="K15">
        <v>0</v>
      </c>
      <c r="N15">
        <v>0</v>
      </c>
      <c r="Q15">
        <v>300</v>
      </c>
      <c r="T15">
        <v>300</v>
      </c>
      <c r="W15">
        <v>300</v>
      </c>
      <c r="Z15">
        <v>300</v>
      </c>
      <c r="AC15">
        <v>300</v>
      </c>
      <c r="AF15">
        <v>300</v>
      </c>
      <c r="AI15">
        <v>300</v>
      </c>
      <c r="AL15">
        <v>300</v>
      </c>
      <c r="AO15">
        <v>300</v>
      </c>
      <c r="AR15">
        <v>300</v>
      </c>
      <c r="AU15">
        <v>300</v>
      </c>
      <c r="AX15">
        <v>300</v>
      </c>
    </row>
    <row r="16" spans="1:52" x14ac:dyDescent="0.25">
      <c r="A16" s="12" t="s">
        <v>35</v>
      </c>
      <c r="B16" t="s">
        <v>40</v>
      </c>
    </row>
    <row r="17" spans="1:52" x14ac:dyDescent="0.25">
      <c r="A17" s="12"/>
      <c r="B17" t="s">
        <v>82</v>
      </c>
      <c r="H17">
        <v>-473</v>
      </c>
    </row>
    <row r="18" spans="1:52" x14ac:dyDescent="0.25">
      <c r="B18" t="s">
        <v>41</v>
      </c>
      <c r="V18" s="29"/>
      <c r="W18" s="29">
        <v>-1000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-2000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-2000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-2000</v>
      </c>
      <c r="AP18" s="29">
        <v>0</v>
      </c>
      <c r="AQ18" s="29">
        <v>0</v>
      </c>
      <c r="AR18" s="29">
        <v>0</v>
      </c>
      <c r="AS18" s="29">
        <v>0</v>
      </c>
      <c r="AT18" s="29">
        <v>0</v>
      </c>
      <c r="AU18" s="29">
        <v>-2000</v>
      </c>
      <c r="AV18" s="29">
        <v>0</v>
      </c>
      <c r="AW18" s="29">
        <v>0</v>
      </c>
      <c r="AX18" s="29">
        <v>0</v>
      </c>
      <c r="AY18" s="29">
        <v>0</v>
      </c>
      <c r="AZ18" s="29">
        <v>0</v>
      </c>
    </row>
    <row r="19" spans="1:52" x14ac:dyDescent="0.25">
      <c r="B19" t="s">
        <v>50</v>
      </c>
    </row>
    <row r="20" spans="1:52" x14ac:dyDescent="0.25">
      <c r="B20" t="s">
        <v>54</v>
      </c>
    </row>
    <row r="21" spans="1:52" x14ac:dyDescent="0.25">
      <c r="B21" t="s">
        <v>76</v>
      </c>
      <c r="U21">
        <v>0</v>
      </c>
      <c r="AG21">
        <v>-2000</v>
      </c>
      <c r="AS21">
        <v>-2000</v>
      </c>
    </row>
    <row r="22" spans="1:52" x14ac:dyDescent="0.25">
      <c r="A22" s="12" t="s">
        <v>44</v>
      </c>
      <c r="B22" t="s">
        <v>36</v>
      </c>
      <c r="E22">
        <v>0</v>
      </c>
      <c r="F22">
        <v>0</v>
      </c>
      <c r="G22">
        <v>0</v>
      </c>
      <c r="H22">
        <v>-100</v>
      </c>
      <c r="I22">
        <v>-100</v>
      </c>
      <c r="J22">
        <v>-100</v>
      </c>
      <c r="K22">
        <v>-100</v>
      </c>
      <c r="L22">
        <v>-100</v>
      </c>
      <c r="M22">
        <v>-100</v>
      </c>
      <c r="N22">
        <v>-100</v>
      </c>
      <c r="O22">
        <v>-100</v>
      </c>
      <c r="P22">
        <v>-100</v>
      </c>
      <c r="Q22">
        <f>+Q8*(Q4+Q6)</f>
        <v>-50</v>
      </c>
      <c r="R22">
        <f>+R8*(R4+R6)</f>
        <v>-50</v>
      </c>
      <c r="S22">
        <f>+S8*(S4+S6)</f>
        <v>-50</v>
      </c>
      <c r="T22">
        <f>+T8*(T4+T6)</f>
        <v>-50</v>
      </c>
      <c r="U22">
        <f>+U8*(U4+U6)</f>
        <v>-50</v>
      </c>
      <c r="V22">
        <f>+V8*(V4+V6)</f>
        <v>-50</v>
      </c>
      <c r="W22">
        <f>+W8*(W4+W6)</f>
        <v>-50</v>
      </c>
      <c r="X22">
        <f>+X8*(X4+X6)</f>
        <v>-50</v>
      </c>
      <c r="Y22">
        <f>+Y8*(Y4+Y6)</f>
        <v>-50</v>
      </c>
      <c r="Z22">
        <f>+Z8*(Z4+Z6)</f>
        <v>-50</v>
      </c>
      <c r="AA22">
        <f>+AA8*(AA4+AA6)</f>
        <v>-50</v>
      </c>
      <c r="AB22">
        <f>+AB8*(AB4+AB6)</f>
        <v>-50</v>
      </c>
      <c r="AC22">
        <f>+AC8*(AC4+AC6)</f>
        <v>-50</v>
      </c>
      <c r="AD22">
        <f>+AD8*(AD4+AD6)</f>
        <v>-50</v>
      </c>
      <c r="AE22">
        <f>+AE8*(AE4+AE6)</f>
        <v>-50</v>
      </c>
      <c r="AF22">
        <f>+AF8*(AF4+AF6)</f>
        <v>-50</v>
      </c>
      <c r="AG22">
        <f>+AG8*(AG4+AG6)</f>
        <v>-50</v>
      </c>
      <c r="AH22">
        <f>+AH8*(AH4+AH6)</f>
        <v>-50</v>
      </c>
      <c r="AI22">
        <f>+AI8*(AI4+AI6)</f>
        <v>-50</v>
      </c>
      <c r="AJ22">
        <f>+AJ8*(AJ4+AJ6)</f>
        <v>-50</v>
      </c>
      <c r="AK22">
        <f>+AK8*(AK4+AK6)</f>
        <v>-50</v>
      </c>
      <c r="AL22">
        <f>+AL8*(AL4+AL6)</f>
        <v>-50</v>
      </c>
      <c r="AM22">
        <f>+AM8*(AM4+AM6)</f>
        <v>-50</v>
      </c>
      <c r="AN22">
        <f>+AN8*(AN4+AN6)</f>
        <v>-50</v>
      </c>
      <c r="AO22">
        <f>+AO8*(AO4+AO6)</f>
        <v>-50</v>
      </c>
      <c r="AP22">
        <f>+AP8*(AP4+AP6)</f>
        <v>-50</v>
      </c>
      <c r="AQ22">
        <f>+AQ8*(AQ4+AQ6)</f>
        <v>-50</v>
      </c>
      <c r="AR22">
        <f>+AR8*(AR4+AR6)</f>
        <v>-50</v>
      </c>
      <c r="AS22">
        <f>+AS8*(AS4+AS6)</f>
        <v>-50</v>
      </c>
      <c r="AT22">
        <f>+AT8*(AT4+AT6)</f>
        <v>-50</v>
      </c>
      <c r="AU22">
        <f>+AU8*(AU4+AU6)</f>
        <v>-50</v>
      </c>
      <c r="AV22">
        <f>+AV8*(AV4+AV6)</f>
        <v>-50</v>
      </c>
      <c r="AW22">
        <f>+AW8*(AW4+AW6)</f>
        <v>-50</v>
      </c>
      <c r="AX22">
        <f>+AX8*(AX4+AX6)</f>
        <v>-50</v>
      </c>
      <c r="AY22">
        <f>+AY8*(AY4+AY6)</f>
        <v>-50</v>
      </c>
      <c r="AZ22">
        <f>+AZ8*(AZ4+AZ6)</f>
        <v>-50</v>
      </c>
    </row>
    <row r="23" spans="1:52" s="7" customFormat="1" x14ac:dyDescent="0.25">
      <c r="B23" s="7" t="s">
        <v>53</v>
      </c>
      <c r="E23" s="7">
        <v>0</v>
      </c>
      <c r="F23" s="7">
        <v>0</v>
      </c>
      <c r="G23" s="7">
        <v>0</v>
      </c>
      <c r="H23" s="7">
        <v>-1600</v>
      </c>
      <c r="I23" s="7">
        <v>-1600</v>
      </c>
      <c r="J23" s="7">
        <v>-2000</v>
      </c>
      <c r="K23" s="7">
        <v>-2000</v>
      </c>
      <c r="L23" s="7">
        <v>-2000</v>
      </c>
      <c r="M23" s="7">
        <v>-1800</v>
      </c>
      <c r="N23" s="7">
        <v>-1800</v>
      </c>
      <c r="O23" s="7">
        <v>-1800</v>
      </c>
      <c r="P23" s="7">
        <v>-1800</v>
      </c>
      <c r="Q23" s="7">
        <v>-1600</v>
      </c>
      <c r="R23" s="7">
        <v>-1600</v>
      </c>
      <c r="S23" s="7">
        <v>-1600</v>
      </c>
      <c r="T23" s="7">
        <v>-2300</v>
      </c>
      <c r="U23" s="7">
        <v>-2300</v>
      </c>
      <c r="V23" s="7">
        <v>-2300</v>
      </c>
      <c r="W23" s="7">
        <v>-2300</v>
      </c>
      <c r="X23" s="7">
        <v>-2300</v>
      </c>
      <c r="Y23" s="7">
        <v>-2300</v>
      </c>
      <c r="Z23" s="7">
        <v>-2300</v>
      </c>
      <c r="AA23" s="7">
        <v>-2300</v>
      </c>
      <c r="AB23" s="7">
        <v>-2300</v>
      </c>
      <c r="AC23" s="7">
        <v>-2700</v>
      </c>
      <c r="AD23" s="7">
        <v>-2700</v>
      </c>
      <c r="AE23" s="7">
        <v>-2700</v>
      </c>
      <c r="AF23" s="7">
        <v>-2700</v>
      </c>
      <c r="AG23" s="7">
        <v>-2700</v>
      </c>
      <c r="AH23" s="7">
        <v>-2700</v>
      </c>
      <c r="AI23" s="7">
        <v>-2700</v>
      </c>
      <c r="AJ23" s="7">
        <v>-2700</v>
      </c>
      <c r="AK23" s="7">
        <v>-2700</v>
      </c>
      <c r="AL23" s="7">
        <v>-2700</v>
      </c>
      <c r="AM23" s="7">
        <v>-2700</v>
      </c>
      <c r="AN23" s="7">
        <v>-2700</v>
      </c>
      <c r="AO23" s="7">
        <v>-3000</v>
      </c>
      <c r="AP23" s="7">
        <v>-3000</v>
      </c>
      <c r="AQ23" s="7">
        <v>-3000</v>
      </c>
      <c r="AR23" s="7">
        <v>-3000</v>
      </c>
      <c r="AS23" s="7">
        <v>-3000</v>
      </c>
      <c r="AT23" s="7">
        <v>-3000</v>
      </c>
      <c r="AU23" s="7">
        <v>-3000</v>
      </c>
      <c r="AV23" s="7">
        <v>-3000</v>
      </c>
      <c r="AW23" s="7">
        <v>-3000</v>
      </c>
      <c r="AX23" s="7">
        <v>-3000</v>
      </c>
      <c r="AY23" s="7">
        <v>-3000</v>
      </c>
      <c r="AZ23" s="7">
        <v>-3000</v>
      </c>
    </row>
    <row r="24" spans="1:52" x14ac:dyDescent="0.25">
      <c r="B24" t="s">
        <v>52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-110</v>
      </c>
      <c r="M24">
        <v>-110</v>
      </c>
      <c r="N24">
        <v>-110</v>
      </c>
      <c r="O24">
        <v>-110</v>
      </c>
      <c r="P24">
        <v>-110</v>
      </c>
      <c r="Q24">
        <v>-110</v>
      </c>
      <c r="R24">
        <v>-110</v>
      </c>
      <c r="S24">
        <v>-110</v>
      </c>
      <c r="T24">
        <v>-110</v>
      </c>
      <c r="U24">
        <v>-110</v>
      </c>
      <c r="V24">
        <v>-110</v>
      </c>
      <c r="W24">
        <v>-110</v>
      </c>
      <c r="X24">
        <v>-110</v>
      </c>
      <c r="Y24">
        <v>-110</v>
      </c>
      <c r="Z24">
        <v>-110</v>
      </c>
      <c r="AA24">
        <v>-110</v>
      </c>
      <c r="AB24">
        <v>-110</v>
      </c>
      <c r="AC24">
        <v>-110</v>
      </c>
      <c r="AD24">
        <v>-110</v>
      </c>
      <c r="AE24">
        <v>-110</v>
      </c>
      <c r="AF24">
        <v>-110</v>
      </c>
      <c r="AG24">
        <v>-110</v>
      </c>
      <c r="AH24">
        <v>-110</v>
      </c>
      <c r="AI24">
        <v>-110</v>
      </c>
      <c r="AJ24">
        <v>-110</v>
      </c>
      <c r="AK24">
        <v>-110</v>
      </c>
      <c r="AL24">
        <v>-110</v>
      </c>
      <c r="AM24">
        <v>-110</v>
      </c>
      <c r="AN24">
        <v>-110</v>
      </c>
      <c r="AO24">
        <v>-110</v>
      </c>
      <c r="AP24">
        <v>-110</v>
      </c>
      <c r="AQ24">
        <v>-110</v>
      </c>
      <c r="AR24">
        <v>-110</v>
      </c>
      <c r="AS24">
        <v>-110</v>
      </c>
      <c r="AT24">
        <v>-110</v>
      </c>
      <c r="AU24">
        <v>-110</v>
      </c>
      <c r="AV24">
        <v>-110</v>
      </c>
      <c r="AW24">
        <v>-110</v>
      </c>
      <c r="AX24">
        <v>-110</v>
      </c>
      <c r="AY24">
        <v>-110</v>
      </c>
      <c r="AZ24">
        <v>-110</v>
      </c>
    </row>
    <row r="25" spans="1:52" x14ac:dyDescent="0.25">
      <c r="B25" t="s">
        <v>45</v>
      </c>
      <c r="E25" s="7">
        <f>-SUM(E10:E15)*E9</f>
        <v>0</v>
      </c>
      <c r="F25" s="7">
        <f>-SUM(F10:F15)*F9</f>
        <v>0</v>
      </c>
      <c r="G25" s="7">
        <f>-SUM(G10:G15)*G9</f>
        <v>0</v>
      </c>
      <c r="H25" s="7">
        <v>0</v>
      </c>
      <c r="I25" s="7">
        <v>0</v>
      </c>
      <c r="J25" s="7">
        <v>-500</v>
      </c>
      <c r="K25" s="7">
        <v>-700</v>
      </c>
      <c r="L25" s="7">
        <v>0</v>
      </c>
      <c r="M25" s="7">
        <v>0</v>
      </c>
      <c r="N25" s="7">
        <v>-100</v>
      </c>
      <c r="O25" s="7">
        <v>-100</v>
      </c>
      <c r="P25" s="7">
        <v>-100</v>
      </c>
      <c r="Q25" s="7">
        <v>-100</v>
      </c>
      <c r="R25" s="7">
        <v>-100</v>
      </c>
      <c r="S25" s="7">
        <v>-100</v>
      </c>
      <c r="T25" s="7">
        <f>-SUM(T10:T15)*T9</f>
        <v>-108</v>
      </c>
      <c r="U25" s="7">
        <f>-SUM(U10:U15)*U9</f>
        <v>-42</v>
      </c>
      <c r="V25" s="7">
        <f>-SUM(V10:V15)*V9</f>
        <v>-102</v>
      </c>
      <c r="W25" s="7">
        <f>-SUM(W10:W15)*W9</f>
        <v>-48</v>
      </c>
      <c r="X25" s="7">
        <f>-SUM(X10:X15)*X9</f>
        <v>-72</v>
      </c>
      <c r="Y25" s="7">
        <f>-SUM(Y10:Y15)*Y9</f>
        <v>-42</v>
      </c>
      <c r="Z25" s="7">
        <f>-SUM(Z10:Z15)*Z9</f>
        <v>-108</v>
      </c>
      <c r="AA25" s="7">
        <f>-SUM(AA10:AA15)*AA9</f>
        <v>-42</v>
      </c>
      <c r="AB25" s="7">
        <f>-SUM(AB10:AB15)*AB9</f>
        <v>-102</v>
      </c>
      <c r="AC25" s="7">
        <f>-SUM(AC10:AC15)*AC9</f>
        <v>-108</v>
      </c>
      <c r="AD25" s="7">
        <f>-SUM(AD10:AD15)*AD9</f>
        <v>-96</v>
      </c>
      <c r="AE25" s="7">
        <f>-SUM(AE10:AE15)*AE9</f>
        <v>-42</v>
      </c>
      <c r="AF25" s="7">
        <f>-SUM(AF10:AF15)*AF9</f>
        <v>-156</v>
      </c>
      <c r="AG25" s="7">
        <f>-SUM(AG10:AG15)*AG9</f>
        <v>-42</v>
      </c>
      <c r="AH25" s="7">
        <f>-SUM(AH10:AH15)*AH9</f>
        <v>-150</v>
      </c>
      <c r="AI25" s="7">
        <f>-SUM(AI10:AI15)*AI9</f>
        <v>-108</v>
      </c>
      <c r="AJ25" s="7">
        <f>-SUM(AJ10:AJ15)*AJ9</f>
        <v>-96</v>
      </c>
      <c r="AK25" s="7">
        <f>-SUM(AK10:AK15)*AK9</f>
        <v>-42</v>
      </c>
      <c r="AL25" s="7">
        <f>-SUM(AL10:AL15)*AL9</f>
        <v>-156</v>
      </c>
      <c r="AM25" s="7">
        <f>-SUM(AM10:AM15)*AM9</f>
        <v>-42</v>
      </c>
      <c r="AN25" s="7">
        <f>-SUM(AN10:AN15)*AN9</f>
        <v>-96</v>
      </c>
      <c r="AO25" s="7">
        <f>-SUM(AO10:AO15)*AO9</f>
        <v>-108</v>
      </c>
      <c r="AP25" s="7">
        <f>-SUM(AP10:AP15)*AP9</f>
        <v>-114.9</v>
      </c>
      <c r="AQ25" s="7">
        <f>-SUM(AQ10:AQ15)*AQ9</f>
        <v>-42</v>
      </c>
      <c r="AR25" s="7">
        <f>-SUM(AR10:AR15)*AR9</f>
        <v>-193.8</v>
      </c>
      <c r="AS25" s="7">
        <f>-SUM(AS10:AS15)*AS9</f>
        <v>-42</v>
      </c>
      <c r="AT25" s="7">
        <f>-SUM(AT10:AT15)*AT9</f>
        <v>-187.8</v>
      </c>
      <c r="AU25" s="7">
        <f>-SUM(AU10:AU15)*AU9</f>
        <v>-108</v>
      </c>
      <c r="AV25" s="7">
        <f>-SUM(AV10:AV15)*AV9</f>
        <v>-114.9</v>
      </c>
      <c r="AW25" s="7">
        <f>-SUM(AW10:AW15)*AW9</f>
        <v>-42</v>
      </c>
      <c r="AX25" s="7">
        <f>-SUM(AX10:AX15)*AX9</f>
        <v>-193.8</v>
      </c>
      <c r="AY25" s="7">
        <f>-SUM(AY10:AY15)*AY9</f>
        <v>-42</v>
      </c>
      <c r="AZ25" s="7">
        <f>-SUM(AZ10:AZ15)*AZ9</f>
        <v>-114.9</v>
      </c>
    </row>
    <row r="26" spans="1:52" x14ac:dyDescent="0.25">
      <c r="B26" t="s">
        <v>62</v>
      </c>
      <c r="E26" s="7">
        <v>0</v>
      </c>
      <c r="F26" s="7">
        <v>0</v>
      </c>
      <c r="G26" s="7">
        <v>0</v>
      </c>
      <c r="H26" s="7">
        <v>-300</v>
      </c>
      <c r="I26" s="7">
        <v>-300</v>
      </c>
      <c r="J26" s="7">
        <v>-300</v>
      </c>
      <c r="K26" s="7">
        <v>-300</v>
      </c>
      <c r="L26" s="7">
        <v>-300</v>
      </c>
      <c r="M26" s="7">
        <v>-300</v>
      </c>
      <c r="N26" s="7">
        <v>-300</v>
      </c>
      <c r="O26" s="7">
        <v>-300</v>
      </c>
      <c r="P26" s="7">
        <v>-300</v>
      </c>
      <c r="Q26" s="7">
        <v>-300</v>
      </c>
      <c r="R26" s="7">
        <v>-300</v>
      </c>
      <c r="S26" s="7">
        <v>-300</v>
      </c>
      <c r="T26" s="7">
        <v>-300</v>
      </c>
      <c r="U26" s="7">
        <v>-300</v>
      </c>
      <c r="V26" s="7">
        <v>-300</v>
      </c>
      <c r="W26" s="7">
        <v>-300</v>
      </c>
      <c r="X26" s="7">
        <v>-300</v>
      </c>
      <c r="Y26" s="7">
        <v>-300</v>
      </c>
      <c r="Z26" s="7">
        <v>-300</v>
      </c>
      <c r="AA26" s="7">
        <v>-300</v>
      </c>
      <c r="AB26" s="7">
        <v>-300</v>
      </c>
      <c r="AC26" s="7">
        <v>-300</v>
      </c>
      <c r="AD26" s="7">
        <v>-300</v>
      </c>
      <c r="AE26" s="7">
        <v>-300</v>
      </c>
      <c r="AF26" s="7">
        <v>-300</v>
      </c>
      <c r="AG26" s="7">
        <v>-300</v>
      </c>
      <c r="AH26" s="7">
        <v>-300</v>
      </c>
      <c r="AI26" s="7">
        <v>-300</v>
      </c>
      <c r="AJ26" s="7">
        <v>-300</v>
      </c>
      <c r="AK26" s="7">
        <v>-300</v>
      </c>
      <c r="AL26" s="7">
        <v>-300</v>
      </c>
      <c r="AM26" s="7">
        <v>-300</v>
      </c>
      <c r="AN26" s="7">
        <v>-300</v>
      </c>
      <c r="AO26" s="7">
        <v>-300</v>
      </c>
      <c r="AP26" s="7">
        <v>-300</v>
      </c>
      <c r="AQ26" s="7">
        <v>-300</v>
      </c>
      <c r="AR26" s="7">
        <v>-300</v>
      </c>
      <c r="AS26" s="7">
        <v>-300</v>
      </c>
      <c r="AT26" s="7">
        <v>-300</v>
      </c>
      <c r="AU26" s="7">
        <v>-300</v>
      </c>
      <c r="AV26" s="7">
        <v>-300</v>
      </c>
      <c r="AW26" s="7">
        <v>-300</v>
      </c>
      <c r="AX26" s="7">
        <v>-300</v>
      </c>
      <c r="AY26" s="7">
        <v>-300</v>
      </c>
      <c r="AZ26" s="7">
        <v>-300</v>
      </c>
    </row>
    <row r="27" spans="1:52" x14ac:dyDescent="0.25">
      <c r="A27" s="12"/>
      <c r="B27" t="s">
        <v>47</v>
      </c>
      <c r="E27" s="7">
        <v>0</v>
      </c>
      <c r="F27" s="7">
        <v>0</v>
      </c>
      <c r="G27" s="7">
        <v>0</v>
      </c>
      <c r="H27" s="7">
        <v>-150</v>
      </c>
      <c r="I27" s="7">
        <v>-150</v>
      </c>
      <c r="J27" s="7">
        <v>-150</v>
      </c>
      <c r="K27" s="7">
        <v>-150</v>
      </c>
      <c r="L27" s="7">
        <v>-150</v>
      </c>
      <c r="M27" s="7">
        <v>-150</v>
      </c>
      <c r="N27" s="7">
        <v>-150</v>
      </c>
      <c r="O27" s="7">
        <v>-150</v>
      </c>
      <c r="P27" s="7">
        <v>-150</v>
      </c>
      <c r="Q27" s="7">
        <v>-150</v>
      </c>
      <c r="R27" s="7">
        <v>-150</v>
      </c>
      <c r="S27" s="7">
        <v>-150</v>
      </c>
      <c r="T27" s="7">
        <v>-150</v>
      </c>
      <c r="U27" s="7">
        <v>-150</v>
      </c>
      <c r="V27" s="7">
        <v>-150</v>
      </c>
      <c r="W27" s="7">
        <v>-150</v>
      </c>
      <c r="X27" s="7">
        <v>-150</v>
      </c>
      <c r="Y27" s="7">
        <v>-150</v>
      </c>
      <c r="Z27" s="7">
        <v>-150</v>
      </c>
      <c r="AA27" s="7">
        <v>-150</v>
      </c>
      <c r="AB27" s="7">
        <v>-150</v>
      </c>
      <c r="AC27" s="7">
        <v>-150</v>
      </c>
      <c r="AD27" s="7">
        <v>-150</v>
      </c>
      <c r="AE27" s="7">
        <v>-150</v>
      </c>
      <c r="AF27" s="7">
        <v>-150</v>
      </c>
      <c r="AG27" s="7">
        <v>-150</v>
      </c>
      <c r="AH27" s="7">
        <v>-150</v>
      </c>
      <c r="AI27" s="7">
        <v>-150</v>
      </c>
      <c r="AJ27" s="7">
        <v>-150</v>
      </c>
      <c r="AK27" s="7">
        <v>-150</v>
      </c>
      <c r="AL27" s="7">
        <v>-150</v>
      </c>
      <c r="AM27" s="7">
        <v>-150</v>
      </c>
      <c r="AN27" s="7">
        <v>-150</v>
      </c>
      <c r="AO27" s="7">
        <v>-150</v>
      </c>
      <c r="AP27" s="7">
        <v>-150</v>
      </c>
      <c r="AQ27" s="7">
        <v>-150</v>
      </c>
      <c r="AR27" s="7">
        <v>-150</v>
      </c>
      <c r="AS27" s="7">
        <v>-150</v>
      </c>
      <c r="AT27" s="7">
        <v>-150</v>
      </c>
      <c r="AU27" s="7">
        <v>-150</v>
      </c>
      <c r="AV27" s="7">
        <v>-150</v>
      </c>
      <c r="AW27" s="7">
        <v>-150</v>
      </c>
      <c r="AX27" s="7">
        <v>-150</v>
      </c>
      <c r="AY27" s="7">
        <v>-150</v>
      </c>
      <c r="AZ27" s="7">
        <v>-150</v>
      </c>
    </row>
    <row r="28" spans="1:52" x14ac:dyDescent="0.25">
      <c r="B28" t="s">
        <v>42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f>-50*(S4+S6)</f>
        <v>-50</v>
      </c>
      <c r="T28">
        <f>-50*(T4+T6)</f>
        <v>-50</v>
      </c>
      <c r="U28">
        <f>-50*(U4+U6)</f>
        <v>-50</v>
      </c>
      <c r="V28">
        <f>-50*(V4+V6)</f>
        <v>-50</v>
      </c>
      <c r="W28">
        <f>-50*(W4+W6)</f>
        <v>-50</v>
      </c>
      <c r="X28">
        <f>-50*(X4+X6)</f>
        <v>-50</v>
      </c>
      <c r="Y28">
        <f>-50*(Y4+Y6)</f>
        <v>-50</v>
      </c>
      <c r="Z28">
        <f>-50*(Z4+Z6)</f>
        <v>-50</v>
      </c>
      <c r="AA28">
        <f>-50*(AA4+AA6)</f>
        <v>-50</v>
      </c>
      <c r="AB28">
        <f>-50*(AB4+AB6)</f>
        <v>-50</v>
      </c>
      <c r="AC28">
        <v>0</v>
      </c>
      <c r="AD28">
        <v>0</v>
      </c>
      <c r="AE28">
        <f>-50*(AE4+AE6)</f>
        <v>-50</v>
      </c>
      <c r="AF28">
        <f>-50*(AF4+AF6)</f>
        <v>-50</v>
      </c>
      <c r="AG28">
        <f>-50*(AG4+AG6)</f>
        <v>-50</v>
      </c>
      <c r="AH28">
        <f>-50*(AH4+AH6)</f>
        <v>-50</v>
      </c>
      <c r="AI28">
        <f>-50*(AI4+AI6)</f>
        <v>-50</v>
      </c>
      <c r="AJ28">
        <f>-50*(AJ4+AJ6)</f>
        <v>-50</v>
      </c>
      <c r="AK28">
        <f>-50*(AK4+AK6)</f>
        <v>-50</v>
      </c>
      <c r="AL28">
        <f>-50*(AL4+AL6)</f>
        <v>-50</v>
      </c>
      <c r="AM28">
        <f>-50*(AM4+AM6)</f>
        <v>-50</v>
      </c>
      <c r="AN28">
        <f>-50*(AN4+AN6)</f>
        <v>-50</v>
      </c>
      <c r="AO28">
        <v>0</v>
      </c>
      <c r="AP28">
        <v>0</v>
      </c>
      <c r="AQ28">
        <f>-50*(AQ4+AQ6)</f>
        <v>-50</v>
      </c>
      <c r="AR28">
        <f>-50*(AR4+AR6)</f>
        <v>-50</v>
      </c>
      <c r="AS28">
        <f>-50*(AS4+AS6)</f>
        <v>-50</v>
      </c>
      <c r="AT28">
        <f>-50*(AT4+AT6)</f>
        <v>-50</v>
      </c>
      <c r="AU28">
        <f>-50*(AU4+AU6)</f>
        <v>-50</v>
      </c>
      <c r="AV28">
        <f>-50*(AV4+AV6)</f>
        <v>-50</v>
      </c>
      <c r="AW28">
        <f>-50*(AW4+AW6)</f>
        <v>-50</v>
      </c>
      <c r="AX28">
        <f>-50*(AX4+AX6)</f>
        <v>-50</v>
      </c>
      <c r="AY28">
        <f>-50*(AY4+AY6)</f>
        <v>-50</v>
      </c>
      <c r="AZ28">
        <f>-50*(AZ4+AZ6)</f>
        <v>-50</v>
      </c>
    </row>
    <row r="29" spans="1:52" x14ac:dyDescent="0.25">
      <c r="A29" s="12" t="s">
        <v>77</v>
      </c>
      <c r="B29" t="s">
        <v>78</v>
      </c>
      <c r="P29">
        <f>-5%*SUM(E10:P15)</f>
        <v>-1315</v>
      </c>
      <c r="AB29">
        <f>-5%*SUM(Q10:AB15)</f>
        <v>-2170</v>
      </c>
      <c r="AN29">
        <f>-5%*SUM(AC10:AN15)</f>
        <v>-2835</v>
      </c>
      <c r="AZ29">
        <f>-5%*SUM(AO10:AZ15)</f>
        <v>-3260.25</v>
      </c>
    </row>
    <row r="30" spans="1:52" x14ac:dyDescent="0.25">
      <c r="B30" t="s">
        <v>83</v>
      </c>
      <c r="H30" s="7">
        <f>-5%*SUM(E10:G15)</f>
        <v>0</v>
      </c>
      <c r="K30" s="7">
        <f>-5%*SUM(H10:J15)</f>
        <v>-231.25</v>
      </c>
      <c r="N30" s="7">
        <f>-5%*SUM(K10:M15)</f>
        <v>-326.25</v>
      </c>
      <c r="Q30" s="7">
        <f>-5%*SUM(N10:P15)</f>
        <v>-757.5</v>
      </c>
      <c r="T30" s="7">
        <f>-5%*SUM(Q10:S15)</f>
        <v>-505</v>
      </c>
      <c r="V30" s="7"/>
      <c r="W30" s="7">
        <f>-5%*SUM(T10:V15)</f>
        <v>-630</v>
      </c>
      <c r="Z30" s="7">
        <f>-5%*SUM(W10:Y15)</f>
        <v>-405</v>
      </c>
      <c r="AC30" s="7">
        <f>-5%*SUM(Z10:AB15)</f>
        <v>-630</v>
      </c>
      <c r="AF30" s="7">
        <f>-5%*SUM(AC10:AE15)</f>
        <v>-615</v>
      </c>
      <c r="AH30" s="7"/>
      <c r="AI30" s="7">
        <f>-5%*SUM(AF10:AH15)</f>
        <v>-870</v>
      </c>
      <c r="AL30" s="7">
        <f>-5%*SUM(AI10:AK15)</f>
        <v>-615</v>
      </c>
      <c r="AO30" s="7">
        <f>-5%*SUM(AL10:AN15)</f>
        <v>-735</v>
      </c>
      <c r="AR30" s="7">
        <f>-5%*SUM(AO10:AQ15)</f>
        <v>-662.25</v>
      </c>
      <c r="AT30" s="7"/>
      <c r="AU30" s="7">
        <f>-5%*SUM(AR10:AT15)</f>
        <v>-1059</v>
      </c>
      <c r="AX30" s="7">
        <f>-5%*SUM(AU10:AW15)</f>
        <v>-662.25</v>
      </c>
    </row>
    <row r="31" spans="1:52" x14ac:dyDescent="0.25">
      <c r="E31" s="7">
        <f>+SUM(E10:E30)</f>
        <v>0</v>
      </c>
      <c r="F31" s="7">
        <f>+SUM(F10:F30)</f>
        <v>0</v>
      </c>
      <c r="G31" s="7">
        <f>+SUM(G10:G30)</f>
        <v>0</v>
      </c>
      <c r="H31" s="7">
        <f>+SUM(H10:H30)</f>
        <v>-873</v>
      </c>
      <c r="I31" s="7">
        <f>+SUM(I10:I30)</f>
        <v>-400</v>
      </c>
      <c r="J31" s="7">
        <f>+SUM(J10:J30)</f>
        <v>-1925</v>
      </c>
      <c r="K31" s="7">
        <f>+SUM(K10:K30)</f>
        <v>-1606.25</v>
      </c>
      <c r="L31" s="7">
        <f>+SUM(L10:L30)</f>
        <v>-785</v>
      </c>
      <c r="M31" s="7">
        <f>+SUM(M10:M30)</f>
        <v>315</v>
      </c>
      <c r="N31" s="7">
        <f>+SUM(N10:N30)</f>
        <v>3638.75</v>
      </c>
      <c r="O31" s="7">
        <f>+SUM(O10:O30)</f>
        <v>-35</v>
      </c>
      <c r="P31" s="7">
        <f>+SUM(P10:P30)</f>
        <v>2225</v>
      </c>
      <c r="Q31" s="7">
        <f>+SUM(Q10:Q30)</f>
        <v>1332.5</v>
      </c>
      <c r="R31" s="7">
        <f>+SUM(R10:R30)</f>
        <v>1290</v>
      </c>
      <c r="S31" s="7">
        <f>+SUM(S10:S30)</f>
        <v>-260</v>
      </c>
      <c r="T31" s="7">
        <f>+SUM(T10:T30)</f>
        <v>1827</v>
      </c>
      <c r="U31" s="7">
        <f>+SUM(U10:U30)</f>
        <v>-902</v>
      </c>
      <c r="V31" s="7">
        <f>+SUM(V10:V30)</f>
        <v>2038</v>
      </c>
      <c r="W31" s="7">
        <f>+SUM(W10:W30)</f>
        <v>-2238</v>
      </c>
      <c r="X31" s="7">
        <f>+SUM(X10:X30)</f>
        <v>568</v>
      </c>
      <c r="Y31" s="7">
        <f>+SUM(Y10:Y30)</f>
        <v>-902</v>
      </c>
      <c r="Z31" s="7">
        <f>+SUM(Z10:Z30)</f>
        <v>1927</v>
      </c>
      <c r="AA31" s="7">
        <f>+SUM(AA10:AA30)</f>
        <v>-902</v>
      </c>
      <c r="AB31" s="7">
        <f>+SUM(AB10:AB30)</f>
        <v>-132</v>
      </c>
      <c r="AC31" s="7">
        <f>+SUM(AC10:AC30)</f>
        <v>-648</v>
      </c>
      <c r="AD31" s="7">
        <f>+SUM(AD10:AD30)</f>
        <v>1394</v>
      </c>
      <c r="AE31" s="7">
        <f>+SUM(AE10:AE30)</f>
        <v>-1302</v>
      </c>
      <c r="AF31" s="7">
        <f>+SUM(AF10:AF30)</f>
        <v>3669</v>
      </c>
      <c r="AG31" s="7">
        <f>+SUM(AG10:AG30)</f>
        <v>-3302</v>
      </c>
      <c r="AH31" s="7">
        <f>+SUM(AH10:AH30)</f>
        <v>3990</v>
      </c>
      <c r="AI31" s="7">
        <f>+SUM(AI10:AI30)</f>
        <v>-938</v>
      </c>
      <c r="AJ31" s="7">
        <f>+SUM(AJ10:AJ30)</f>
        <v>1344</v>
      </c>
      <c r="AK31" s="7">
        <f>+SUM(AK10:AK30)</f>
        <v>-1302</v>
      </c>
      <c r="AL31" s="7">
        <f>+SUM(AL10:AL30)</f>
        <v>3669</v>
      </c>
      <c r="AM31" s="7">
        <f>+SUM(AM10:AM30)</f>
        <v>-1302</v>
      </c>
      <c r="AN31" s="7">
        <f>+SUM(AN10:AN30)</f>
        <v>-1491</v>
      </c>
      <c r="AO31" s="7">
        <f>+SUM(AO10:AO30)</f>
        <v>-1053</v>
      </c>
      <c r="AP31" s="7">
        <f>+SUM(AP10:AP30)</f>
        <v>2020.1</v>
      </c>
      <c r="AQ31" s="7">
        <f>+SUM(AQ10:AQ30)</f>
        <v>-1602</v>
      </c>
      <c r="AR31" s="7">
        <f>+SUM(AR10:AR30)</f>
        <v>5173.95</v>
      </c>
      <c r="AS31" s="7">
        <f>+SUM(AS10:AS30)</f>
        <v>-3602</v>
      </c>
      <c r="AT31" s="7">
        <f>+SUM(AT10:AT30)</f>
        <v>5542.2</v>
      </c>
      <c r="AU31" s="7">
        <f>+SUM(AU10:AU30)</f>
        <v>-1427</v>
      </c>
      <c r="AV31" s="7">
        <f>+SUM(AV10:AV30)</f>
        <v>1970.1</v>
      </c>
      <c r="AW31" s="7">
        <f>+SUM(AW10:AW30)</f>
        <v>-1602</v>
      </c>
      <c r="AX31" s="7">
        <f>+SUM(AX10:AX30)</f>
        <v>5173.95</v>
      </c>
      <c r="AY31" s="7">
        <f>+SUM(AY10:AY30)</f>
        <v>-1602</v>
      </c>
      <c r="AZ31" s="7">
        <f>+SUM(AZ10:AZ30)</f>
        <v>-1290.1500000000001</v>
      </c>
    </row>
    <row r="33" spans="2:52" x14ac:dyDescent="0.25">
      <c r="B33" t="s">
        <v>114</v>
      </c>
      <c r="E33" s="7">
        <f>+SUM($E$31:E31)</f>
        <v>0</v>
      </c>
      <c r="F33" s="7">
        <f>+SUM($E$31:F31)</f>
        <v>0</v>
      </c>
      <c r="G33" s="7">
        <f>+SUM($E$31:G31)</f>
        <v>0</v>
      </c>
      <c r="H33" s="7">
        <f>+SUM($E$31:H31)</f>
        <v>-873</v>
      </c>
      <c r="I33" s="7">
        <f>+SUM($E$31:I31)</f>
        <v>-1273</v>
      </c>
      <c r="J33" s="7">
        <f>+SUM($E$31:J31)</f>
        <v>-3198</v>
      </c>
      <c r="K33" s="7">
        <f>+SUM($E$31:K31)</f>
        <v>-4804.25</v>
      </c>
      <c r="L33" s="7">
        <f>+SUM($E$31:L31)</f>
        <v>-5589.25</v>
      </c>
      <c r="M33" s="7">
        <f>+SUM($E$31:M31)</f>
        <v>-5274.25</v>
      </c>
      <c r="N33" s="7">
        <f>+SUM($E$31:N31)</f>
        <v>-1635.5</v>
      </c>
      <c r="O33" s="7">
        <f>+SUM($E$31:O31)</f>
        <v>-1670.5</v>
      </c>
      <c r="P33" s="7">
        <f>+SUM($E$31:P31)</f>
        <v>554.5</v>
      </c>
      <c r="Q33" s="7">
        <f>+SUM($E$31:Q31)</f>
        <v>1887</v>
      </c>
      <c r="R33" s="7">
        <f>+SUM($E$31:R31)</f>
        <v>3177</v>
      </c>
      <c r="S33" s="7">
        <f>+SUM($E$31:S31)</f>
        <v>2917</v>
      </c>
      <c r="T33" s="7">
        <f>+SUM($E$31:T31)</f>
        <v>4744</v>
      </c>
      <c r="U33" s="7">
        <f>+SUM($E$31:U31)</f>
        <v>3842</v>
      </c>
      <c r="V33" s="7">
        <f>+SUM($E$31:V31)</f>
        <v>5880</v>
      </c>
      <c r="W33" s="7">
        <f>+SUM($E$31:W31)</f>
        <v>3642</v>
      </c>
      <c r="X33" s="7">
        <f>+SUM($E$31:X31)</f>
        <v>4210</v>
      </c>
      <c r="Y33" s="7">
        <f>+SUM($E$31:Y31)</f>
        <v>3308</v>
      </c>
      <c r="Z33" s="7">
        <f>+SUM($E$31:Z31)</f>
        <v>5235</v>
      </c>
      <c r="AA33" s="7">
        <f>+SUM($E$31:AA31)</f>
        <v>4333</v>
      </c>
      <c r="AB33" s="7">
        <f>+SUM($E$31:AB31)</f>
        <v>4201</v>
      </c>
      <c r="AC33" s="7">
        <f>+SUM($E$31:AC31)</f>
        <v>3553</v>
      </c>
      <c r="AD33" s="7">
        <f>+SUM($E$31:AD31)</f>
        <v>4947</v>
      </c>
      <c r="AE33" s="7">
        <f>+SUM($E$31:AE31)</f>
        <v>3645</v>
      </c>
      <c r="AF33" s="7">
        <f>+SUM($E$31:AF31)</f>
        <v>7314</v>
      </c>
      <c r="AG33" s="7">
        <f>+SUM($E$31:AG31)</f>
        <v>4012</v>
      </c>
      <c r="AH33" s="7">
        <f>+SUM($E$31:AH31)</f>
        <v>8002</v>
      </c>
      <c r="AI33" s="7">
        <f>+SUM($E$31:AI31)</f>
        <v>7064</v>
      </c>
      <c r="AJ33" s="7">
        <f>+SUM($E$31:AJ31)</f>
        <v>8408</v>
      </c>
      <c r="AK33" s="7">
        <f>+SUM($E$31:AK31)</f>
        <v>7106</v>
      </c>
      <c r="AL33" s="7">
        <f>+SUM($E$31:AL31)</f>
        <v>10775</v>
      </c>
      <c r="AM33" s="7">
        <f>+SUM($E$31:AM31)</f>
        <v>9473</v>
      </c>
      <c r="AN33" s="7">
        <f>+SUM($E$31:AN31)</f>
        <v>7982</v>
      </c>
      <c r="AO33" s="7">
        <f>+SUM($E$31:AO31)</f>
        <v>6929</v>
      </c>
      <c r="AP33" s="7">
        <f>+SUM($E$31:AP31)</f>
        <v>8949.1</v>
      </c>
      <c r="AQ33" s="7">
        <f>+SUM($E$31:AQ31)</f>
        <v>7347.1</v>
      </c>
      <c r="AR33" s="7">
        <f>+SUM($E$31:AR31)</f>
        <v>12521.05</v>
      </c>
      <c r="AS33" s="7">
        <f>+SUM($E$31:AS31)</f>
        <v>8919.0499999999993</v>
      </c>
      <c r="AT33" s="7">
        <f>+SUM($E$31:AT31)</f>
        <v>14461.25</v>
      </c>
      <c r="AU33" s="7">
        <f>+SUM($E$31:AU31)</f>
        <v>13034.25</v>
      </c>
      <c r="AV33" s="7">
        <f>+SUM($E$31:AV31)</f>
        <v>15004.35</v>
      </c>
      <c r="AW33" s="7">
        <f>+SUM($E$31:AW31)</f>
        <v>13402.35</v>
      </c>
      <c r="AX33" s="7">
        <f>+SUM($E$31:AX31)</f>
        <v>18576.3</v>
      </c>
      <c r="AY33" s="7">
        <f>+SUM($E$31:AY31)</f>
        <v>16974.3</v>
      </c>
      <c r="AZ33" s="7">
        <f>+SUM($E$31:AZ31)</f>
        <v>15684.15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item1.xml>��
</file>

<file path=customXml/item2.xml>��
</file>

<file path=customXml/item3.xml>��
</file>

<file path=customXml/item4.xml>��� � � � 
</file>

<file path=customXml/item5.xml>��
</file>

<file path=customXml/item6.xml>��� � 
</file>

<file path=customXml/item7.xml>��� � � � � � 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��� � � � � � 
</file>

<file path=customXml/item16.xml>��
</file>

<file path=customXml/item17.xml>��
</file>

<file path=customXml/item18.xml>��� � � � � � 
</file>

<file path=customXml/item19.xml>��� � � � � � 
</file>

<file path=customXml/item20.xml>��� � � � � � 
</file>

<file path=customXml/item21.xml>��� � � � � � 
</file>

<file path=customXml/item22.xml>��� � � � � � 
</file>

<file path=customXml/item23.xml>��� � � � � � 
</file>

<file path=customXml/item24.xml>��� � � � � � 
</file>

<file path=customXml/item25.xml>��� � � � � � 
</file>

<file path=customXml/item26.xml>��
</file>

<file path=customXml/item27.xml>��
</file>

<file path=customXml/item28.xml>��
</file>

<file path=customXml/item29.xml>��
</file>

<file path=customXml/item30.xml>��
</file>

<file path=customXml/itemProps1.xml><?xml version="1.0" encoding="utf-8"?>
<ds:datastoreItem xmlns:ds="http://schemas.openxmlformats.org/officeDocument/2006/customXml" ds:itemID="{33399417-FD0A-400C-AFCF-6ED55E25A756}">
  <ds:schemaRefs/>
</ds:datastoreItem>
</file>

<file path=customXml/itemProps2.xml><?xml version="1.0" encoding="utf-8"?>
<ds:datastoreItem xmlns:ds="http://schemas.openxmlformats.org/officeDocument/2006/customXml" ds:itemID="{18ED3DA6-C33C-4E4C-A2C6-96BDA3144A92}">
  <ds:schemaRefs/>
</ds:datastoreItem>
</file>

<file path=customXml/itemProps3.xml><?xml version="1.0" encoding="utf-8"?>
<ds:datastoreItem xmlns:ds="http://schemas.openxmlformats.org/officeDocument/2006/customXml" ds:itemID="{A989F4F0-9663-4308-B62D-517A0070218F}">
  <ds:schemaRefs/>
</ds:datastoreItem>
</file>

<file path=customXml/itemProps4.xml><?xml version="1.0" encoding="utf-8"?>
<ds:datastoreItem xmlns:ds="http://schemas.openxmlformats.org/officeDocument/2006/customXml" ds:itemID="{4DED4D8E-2274-4830-902C-44BFED175F9B}">
  <ds:schemaRefs/>
</ds:datastoreItem>
</file>

<file path=customXml/itemProps5.xml><?xml version="1.0" encoding="utf-8"?>
<ds:datastoreItem xmlns:ds="http://schemas.openxmlformats.org/officeDocument/2006/customXml" ds:itemID="{CAC04962-FAFF-41DA-B01E-9087FB2C06AB}">
  <ds:schemaRefs/>
</ds:datastoreItem>
</file>

<file path=customXml/itemProps6.xml><?xml version="1.0" encoding="utf-8"?>
<ds:datastoreItem xmlns:ds="http://schemas.openxmlformats.org/officeDocument/2006/customXml" ds:itemID="{1ABA74A5-682C-44EB-B8FF-A49EBA03A569}">
  <ds:schemaRefs/>
</ds:datastoreItem>
</file>

<file path=customXml/itemProps7.xml><?xml version="1.0" encoding="utf-8"?>
<ds:datastoreItem xmlns:ds="http://schemas.openxmlformats.org/officeDocument/2006/customXml" ds:itemID="{DEC2E028-66D6-4CEB-A7B6-AB69687AA8B1}">
  <ds:schemaRefs/>
</ds:datastoreItem>
</file>

<file path=customXml/itemProps8.xml><?xml version="1.0" encoding="utf-8"?>
<ds:datastoreItem xmlns:ds="http://schemas.openxmlformats.org/officeDocument/2006/customXml" ds:itemID="{5FAA8C67-EF0B-489D-9430-A56E6CC24DBB}">
  <ds:schemaRefs/>
</ds:datastoreItem>
</file>

<file path=customXml/itemProps9.xml><?xml version="1.0" encoding="utf-8"?>
<ds:datastoreItem xmlns:ds="http://schemas.openxmlformats.org/officeDocument/2006/customXml" ds:itemID="{46B2A88A-0481-4CD9-A28E-34B1E9E3B1B6}">
  <ds:schemaRefs/>
</ds:datastoreItem>
</file>

<file path=customXml/itemProps10.xml><?xml version="1.0" encoding="utf-8"?>
<ds:datastoreItem xmlns:ds="http://schemas.openxmlformats.org/officeDocument/2006/customXml" ds:itemID="{34B5FBBA-F489-4DC0-A347-AABA0AC5862F}">
  <ds:schemaRefs/>
</ds:datastoreItem>
</file>

<file path=customXml/itemProps11.xml><?xml version="1.0" encoding="utf-8"?>
<ds:datastoreItem xmlns:ds="http://schemas.openxmlformats.org/officeDocument/2006/customXml" ds:itemID="{ED171710-602A-498C-85BD-EC2A39A9D8BF}">
  <ds:schemaRefs/>
</ds:datastoreItem>
</file>

<file path=customXml/itemProps12.xml><?xml version="1.0" encoding="utf-8"?>
<ds:datastoreItem xmlns:ds="http://schemas.openxmlformats.org/officeDocument/2006/customXml" ds:itemID="{6D49786D-CABF-4517-84DC-6875FA00A754}">
  <ds:schemaRefs/>
</ds:datastoreItem>
</file>

<file path=customXml/itemProps13.xml><?xml version="1.0" encoding="utf-8"?>
<ds:datastoreItem xmlns:ds="http://schemas.openxmlformats.org/officeDocument/2006/customXml" ds:itemID="{310C6C3B-855A-47B9-BFAB-B21BB8DFBC7F}">
  <ds:schemaRefs/>
</ds:datastoreItem>
</file>

<file path=customXml/itemProps14.xml><?xml version="1.0" encoding="utf-8"?>
<ds:datastoreItem xmlns:ds="http://schemas.openxmlformats.org/officeDocument/2006/customXml" ds:itemID="{49ED63E1-F2FF-4D75-B197-CE1500CDBB8F}">
  <ds:schemaRefs/>
</ds:datastoreItem>
</file>

<file path=customXml/itemProps15.xml><?xml version="1.0" encoding="utf-8"?>
<ds:datastoreItem xmlns:ds="http://schemas.openxmlformats.org/officeDocument/2006/customXml" ds:itemID="{0D55C32B-4CE7-44E3-9051-E87F028D6774}">
  <ds:schemaRefs/>
</ds:datastoreItem>
</file>

<file path=customXml/itemProps16.xml><?xml version="1.0" encoding="utf-8"?>
<ds:datastoreItem xmlns:ds="http://schemas.openxmlformats.org/officeDocument/2006/customXml" ds:itemID="{FC0A1FDA-529B-44CD-BCB6-72CBB3C7DE79}">
  <ds:schemaRefs/>
</ds:datastoreItem>
</file>

<file path=customXml/itemProps17.xml><?xml version="1.0" encoding="utf-8"?>
<ds:datastoreItem xmlns:ds="http://schemas.openxmlformats.org/officeDocument/2006/customXml" ds:itemID="{E236D149-5B88-4C88-BF4E-D3ED57FE2E1E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86C17037-59B3-4FC9-88FA-8DB1E04B7300}">
  <ds:schemaRefs/>
</ds:datastoreItem>
</file>

<file path=customXml/itemProps19.xml><?xml version="1.0" encoding="utf-8"?>
<ds:datastoreItem xmlns:ds="http://schemas.openxmlformats.org/officeDocument/2006/customXml" ds:itemID="{A0657CB5-2FD9-4B88-A5B3-653090A5FBAC}">
  <ds:schemaRefs/>
</ds:datastoreItem>
</file>

<file path=customXml/itemProps20.xml><?xml version="1.0" encoding="utf-8"?>
<ds:datastoreItem xmlns:ds="http://schemas.openxmlformats.org/officeDocument/2006/customXml" ds:itemID="{7A286509-64CA-4C61-8CEE-3D11F0B18E77}">
  <ds:schemaRefs/>
</ds:datastoreItem>
</file>

<file path=customXml/itemProps21.xml><?xml version="1.0" encoding="utf-8"?>
<ds:datastoreItem xmlns:ds="http://schemas.openxmlformats.org/officeDocument/2006/customXml" ds:itemID="{78EB148B-1EAC-48E5-B2A5-F4ABEB2B2803}">
  <ds:schemaRefs/>
</ds:datastoreItem>
</file>

<file path=customXml/itemProps22.xml><?xml version="1.0" encoding="utf-8"?>
<ds:datastoreItem xmlns:ds="http://schemas.openxmlformats.org/officeDocument/2006/customXml" ds:itemID="{9F58D1BE-0CB7-442D-B7B4-F59E689D19A7}">
  <ds:schemaRefs/>
</ds:datastoreItem>
</file>

<file path=customXml/itemProps23.xml><?xml version="1.0" encoding="utf-8"?>
<ds:datastoreItem xmlns:ds="http://schemas.openxmlformats.org/officeDocument/2006/customXml" ds:itemID="{03F827D6-68B5-42DE-B641-D4ECF4E5D9B6}">
  <ds:schemaRefs/>
</ds:datastoreItem>
</file>

<file path=customXml/itemProps24.xml><?xml version="1.0" encoding="utf-8"?>
<ds:datastoreItem xmlns:ds="http://schemas.openxmlformats.org/officeDocument/2006/customXml" ds:itemID="{FABBFF7C-6616-4DAA-BDE7-CC813C25A141}">
  <ds:schemaRefs/>
</ds:datastoreItem>
</file>

<file path=customXml/itemProps25.xml><?xml version="1.0" encoding="utf-8"?>
<ds:datastoreItem xmlns:ds="http://schemas.openxmlformats.org/officeDocument/2006/customXml" ds:itemID="{6E15AA28-FEE9-4339-9CCB-136B91749EF1}">
  <ds:schemaRefs/>
</ds:datastoreItem>
</file>

<file path=customXml/itemProps26.xml><?xml version="1.0" encoding="utf-8"?>
<ds:datastoreItem xmlns:ds="http://schemas.openxmlformats.org/officeDocument/2006/customXml" ds:itemID="{96A25E2A-5DDE-4CB1-BC06-A4ABAB17A84E}">
  <ds:schemaRefs/>
</ds:datastoreItem>
</file>

<file path=customXml/itemProps27.xml><?xml version="1.0" encoding="utf-8"?>
<ds:datastoreItem xmlns:ds="http://schemas.openxmlformats.org/officeDocument/2006/customXml" ds:itemID="{111BCC9C-BDEF-4C1C-851C-FBA4A27D59CB}">
  <ds:schemaRefs/>
</ds:datastoreItem>
</file>

<file path=customXml/itemProps28.xml><?xml version="1.0" encoding="utf-8"?>
<ds:datastoreItem xmlns:ds="http://schemas.openxmlformats.org/officeDocument/2006/customXml" ds:itemID="{7A28CE22-7C15-456A-83E7-355B1BAF347B}">
  <ds:schemaRefs/>
</ds:datastoreItem>
</file>

<file path=customXml/itemProps29.xml><?xml version="1.0" encoding="utf-8"?>
<ds:datastoreItem xmlns:ds="http://schemas.openxmlformats.org/officeDocument/2006/customXml" ds:itemID="{F10E4201-2DBA-427A-AF81-B9FC0971170B}">
  <ds:schemaRefs/>
</ds:datastoreItem>
</file>

<file path=customXml/itemProps30.xml><?xml version="1.0" encoding="utf-8"?>
<ds:datastoreItem xmlns:ds="http://schemas.openxmlformats.org/officeDocument/2006/customXml" ds:itemID="{0B2D669C-4E66-481C-8D93-E5A0DD175AA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Hoja3</vt:lpstr>
      <vt:lpstr>Hoja1</vt:lpstr>
      <vt:lpstr>Plan_financiero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Haisch</dc:creator>
  <cp:lastModifiedBy>Diego Haisch Timm</cp:lastModifiedBy>
  <dcterms:created xsi:type="dcterms:W3CDTF">2025-11-24T11:32:41Z</dcterms:created>
  <dcterms:modified xsi:type="dcterms:W3CDTF">2026-07-21T17:56:39Z</dcterms:modified>
</cp:coreProperties>
</file>